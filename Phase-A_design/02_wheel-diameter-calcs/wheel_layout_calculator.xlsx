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JAC-ECC\AGV-Mechanical-Phase\Phase-A_design\02_wheel-diameter-calcs\"/>
    </mc:Choice>
  </mc:AlternateContent>
  <xr:revisionPtr revIDLastSave="0" documentId="13_ncr:1_{44295C63-67D4-4C97-9C89-1F2ABC9BD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" sheetId="1" r:id="rId1"/>
    <sheet name="Mass budget" sheetId="2" r:id="rId2"/>
    <sheet name="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3" l="1"/>
  <c r="B55" i="3" s="1"/>
  <c r="B43" i="3"/>
  <c r="B40" i="3"/>
  <c r="B32" i="3"/>
  <c r="B34" i="3" s="1"/>
  <c r="B31" i="3"/>
  <c r="B29" i="3"/>
  <c r="B28" i="3"/>
  <c r="B27" i="3"/>
  <c r="B26" i="3"/>
  <c r="B25" i="3"/>
  <c r="B24" i="3"/>
  <c r="B16" i="3"/>
  <c r="B17" i="3" s="1"/>
  <c r="B18" i="3" s="1"/>
  <c r="B19" i="3" s="1"/>
  <c r="B20" i="3" s="1"/>
  <c r="B15" i="3"/>
  <c r="B14" i="3"/>
  <c r="B12" i="3"/>
  <c r="B11" i="3"/>
  <c r="B10" i="3"/>
  <c r="B9" i="3"/>
  <c r="B8" i="3"/>
  <c r="B7" i="3"/>
  <c r="B5" i="3"/>
  <c r="B6" i="3" s="1"/>
  <c r="C13" i="2"/>
  <c r="C12" i="2"/>
  <c r="C14" i="2" s="1"/>
  <c r="C15" i="2" s="1"/>
  <c r="C11" i="2"/>
  <c r="C10" i="2"/>
  <c r="C9" i="2"/>
  <c r="C8" i="2"/>
  <c r="C7" i="2"/>
  <c r="C6" i="2"/>
  <c r="C5" i="2"/>
  <c r="C4" i="2"/>
  <c r="B21" i="3" l="1"/>
  <c r="B22" i="3"/>
  <c r="C16" i="2"/>
  <c r="B28" i="1" s="1"/>
  <c r="B33" i="3"/>
  <c r="B35" i="3" s="1"/>
  <c r="B54" i="3"/>
  <c r="B39" i="3" l="1"/>
  <c r="B45" i="3"/>
  <c r="B44" i="3"/>
  <c r="B37" i="3"/>
  <c r="B36" i="3"/>
  <c r="B41" i="3" l="1"/>
  <c r="B42" i="3" s="1"/>
  <c r="B52" i="3"/>
  <c r="B51" i="3"/>
  <c r="B50" i="3"/>
  <c r="B46" i="3"/>
  <c r="B47" i="3" s="1"/>
  <c r="B48" i="3" s="1"/>
  <c r="B49" i="3" s="1"/>
</calcChain>
</file>

<file path=xl/sharedStrings.xml><?xml version="1.0" encoding="utf-8"?>
<sst xmlns="http://schemas.openxmlformats.org/spreadsheetml/2006/main" count="254" uniqueCount="162">
  <si>
    <t>Task 2 v2 · Wheel layout calculator · INPUTS</t>
  </si>
  <si>
    <t>Frame of [A-00] Main AMR Assembly: origin = robot centre (X = 0, Z = 0), X = width, Y = up, Z = length, mm. Y = 0 is the underside of the 1 mm Ground part, so the floor surface is Y = 1.0. Edit only BLUE values.</t>
  </si>
  <si>
    <t>Parameter</t>
  </si>
  <si>
    <t>Value</t>
  </si>
  <si>
    <t>Unit</t>
  </si>
  <si>
    <t>Source / note</t>
  </si>
  <si>
    <t>Measured in the CAD</t>
  </si>
  <si>
    <t>Floor surface Y (top of Ground part)</t>
  </si>
  <si>
    <t>mm</t>
  </si>
  <si>
    <t>[A-00] Main AMR Assembly, read via SolidWorks API 2026-10-20 (GitHub e98996c)</t>
  </si>
  <si>
    <t>Frame outer face X (each side)</t>
  </si>
  <si>
    <t>[A-00] Main AMR Assembly, read via SolidWorks API 2026-10-20 (GitHub e98996c): 3030 frame 524 wide</t>
  </si>
  <si>
    <t>Frame outer face Z (each end)</t>
  </si>
  <si>
    <t>[A-00] Main AMR Assembly, read via SolidWorks API 2026-10-20 (GitHub e98996c): 3030 frame 656 long</t>
  </si>
  <si>
    <t>Frame bottom Y (underside of bottom profiles)</t>
  </si>
  <si>
    <t>Top of bottom profiles = underside of First Plate</t>
  </si>
  <si>
    <t>Frame top Y</t>
  </si>
  <si>
    <t>Lowest chassis part Y (cross joints / tee brackets)</t>
  </si>
  <si>
    <t>Drive axle centre Y (as modelled)</t>
  </si>
  <si>
    <t>[A-00] Main AMR Assembly, read via SolidWorks API 2026-10-20 (GitHub e98996c) ('axe' part)</t>
  </si>
  <si>
    <t>Drive axle radius</t>
  </si>
  <si>
    <t>[A-00] Main AMR Assembly, read via SolidWorks API 2026-10-20 (GitHub e98996c) (19.4 mm shaft)</t>
  </si>
  <si>
    <t>Drive tyre mid-plane X (each side)</t>
  </si>
  <si>
    <t>[A-00] Main AMR Assembly, read via SolidWorks API 2026-10-20 (GitHub e98996c) (tyre X 271.3..317.3)</t>
  </si>
  <si>
    <t>Drive tyre inner face X</t>
  </si>
  <si>
    <t>Drive tyre width</t>
  </si>
  <si>
    <t>Drive tyre diameter</t>
  </si>
  <si>
    <t>[A-00] Main AMR Assembly, read via SolidWorks API 2026-10-20 (GitHub e98996c) (rotated tyre box 240.2 / 1.397). Measure the real wheel.</t>
  </si>
  <si>
    <t>Caster swivel axis X (each side)</t>
  </si>
  <si>
    <t>Caster swivel axis Z (each end)</t>
  </si>
  <si>
    <t>Caster wheel diameter</t>
  </si>
  <si>
    <t>Caster lead (swivel axis to wheel axle)</t>
  </si>
  <si>
    <t>Top of the caster model</t>
  </si>
  <si>
    <t>Design inputs</t>
  </si>
  <si>
    <t>Tyre deflection under load</t>
  </si>
  <si>
    <t>Solid tyre, estimate.</t>
  </si>
  <si>
    <t>Suspension: wheel drop needed below the floor plane</t>
  </si>
  <si>
    <t>Floor dips.</t>
  </si>
  <si>
    <t>Minimum axle-to-profile clearance at full drop</t>
  </si>
  <si>
    <t>Robot mass, empty</t>
  </si>
  <si>
    <t>kg</t>
  </si>
  <si>
    <t>Linked to the Mass budget sheet (CAD has no materials yet).</t>
  </si>
  <si>
    <t>Design payload</t>
  </si>
  <si>
    <t>GP1 sizing basis.</t>
  </si>
  <si>
    <t>CG height above floor, loaded + lift raised</t>
  </si>
  <si>
    <t>m</t>
  </si>
  <si>
    <t>Conservative.</t>
  </si>
  <si>
    <t>CG height above floor, empty</t>
  </si>
  <si>
    <t>Estimate.</t>
  </si>
  <si>
    <t>Payload CG offset from centre</t>
  </si>
  <si>
    <t>Target acceleration, loaded</t>
  </si>
  <si>
    <t>m/s2</t>
  </si>
  <si>
    <t>Slope / ramp</t>
  </si>
  <si>
    <t>deg</t>
  </si>
  <si>
    <t>Rolling resistance</t>
  </si>
  <si>
    <t>-</t>
  </si>
  <si>
    <t>Friction, nominal</t>
  </si>
  <si>
    <t>Friction, worst</t>
  </si>
  <si>
    <t>Gravity</t>
  </si>
  <si>
    <t>Spring force pressing EACH drive wheel on the floor</t>
  </si>
  <si>
    <t>N</t>
  </si>
  <si>
    <t>Keep 2 x preload below ~70% of the empty weight.</t>
  </si>
  <si>
    <t>Vertical variation to absorb, +/-</t>
  </si>
  <si>
    <t>Allowed +/- force change over that travel</t>
  </si>
  <si>
    <t>Suspension lever ratio (spring travel / wheel travel)</t>
  </si>
  <si>
    <t>1 for a vertical slide.</t>
  </si>
  <si>
    <t>Selected caster: total height (datasheet)</t>
  </si>
  <si>
    <t>Example: Revvo 50 mm low-profile, 64 mm, 160 kg (RS 750834).</t>
  </si>
  <si>
    <t>Selected caster: rating per caster</t>
  </si>
  <si>
    <t>Mass budget, empty robot (estimates: the CAD parts have no material assigned yet)</t>
  </si>
  <si>
    <t>Item</t>
  </si>
  <si>
    <t>Qty</t>
  </si>
  <si>
    <t>Mass total (kg)</t>
  </si>
  <si>
    <t>Unit mass (kg)</t>
  </si>
  <si>
    <t>3030 aluminium profile, total 6.67 m (cut list)</t>
  </si>
  <si>
    <t>~0.9 kg/m typical for 3030; length from 'List of components.xlsx'.</t>
  </si>
  <si>
    <t>Brackets, corner joints, cross joints, T-nuts, screws</t>
  </si>
  <si>
    <t>First Plate, aluminium 460 x 580 x 3 mm</t>
  </si>
  <si>
    <t>0.8 m2·mm x 2.7 g/cm3.</t>
  </si>
  <si>
    <t>Hoverboard hub motor 6.5 in with tyre</t>
  </si>
  <si>
    <t>Parallax 6.5 in hub motor listing.</t>
  </si>
  <si>
    <t>2 in swivel caster</t>
  </si>
  <si>
    <t>Drive suspension module (bracket, slide, spring)</t>
  </si>
  <si>
    <t>Lifting mechanism (Task 3)</t>
  </si>
  <si>
    <t>Estimate; replace with Task 3 mass.</t>
  </si>
  <si>
    <t>Battery 36 V ~10 Ah</t>
  </si>
  <si>
    <t>Electronics</t>
  </si>
  <si>
    <t>Cover, 3 mm sheet (Task 4)</t>
  </si>
  <si>
    <t>Estimate; Task 4 uses 3 mm sheet.</t>
  </si>
  <si>
    <t>Subtotal</t>
  </si>
  <si>
    <t>Design margin (10%)</t>
  </si>
  <si>
    <t>Empty robot mass used in calculations</t>
  </si>
  <si>
    <t>Task 2 v2 · RESULTS (formulas, do not edit)</t>
  </si>
  <si>
    <t>Result</t>
  </si>
  <si>
    <t>Meaning / check</t>
  </si>
  <si>
    <t>1. Vertical alignment (as modelled)</t>
  </si>
  <si>
    <t>Drive tyre bottom Y (axle Y - tyre D/2)</t>
  </si>
  <si>
    <t>Should equal the floor Y</t>
  </si>
  <si>
    <t>Drive tyre vs floor</t>
  </si>
  <si>
    <t>0 = drive wheels and casters on the same plane</t>
  </si>
  <si>
    <t>Floor to caster mounting face (underside of First Plate)</t>
  </si>
  <si>
    <t>Caster model top above the mounting face</t>
  </si>
  <si>
    <t>&gt;0 = the caster model pokes into the plate</t>
  </si>
  <si>
    <t>Ground clearance under the frame</t>
  </si>
  <si>
    <t>Ground clearance under the lowest chassis part</t>
  </si>
  <si>
    <t>Tyre top above the frame top</t>
  </si>
  <si>
    <t>&gt;0 = needs wheel wells in the cover</t>
  </si>
  <si>
    <t>Gap tyre inner face to frame outer face</t>
  </si>
  <si>
    <t>2. Axle clearance over the bottom side profile (the axle passes over it at Z = 0)</t>
  </si>
  <si>
    <t>Gap as modelled (axle unloaded)</t>
  </si>
  <si>
    <t>Gap under load (tyre compressed)</t>
  </si>
  <si>
    <t>&lt;0 = the axle sits on the profile</t>
  </si>
  <si>
    <t>Gap needed (droop + clearance)</t>
  </si>
  <si>
    <t>Lower the frame by (whole mm)</t>
  </si>
  <si>
    <t>By shortening the installed casters</t>
  </si>
  <si>
    <t>New floor-to-caster-face height</t>
  </si>
  <si>
    <t>Caster + spacer must equal this</t>
  </si>
  <si>
    <t>Spacer for the selected caster</t>
  </si>
  <si>
    <t>Selected caster fits?</t>
  </si>
  <si>
    <t>New clearance under the lowest part</t>
  </si>
  <si>
    <t>New tyre top above the frame top</t>
  </si>
  <si>
    <t>3. Plan geometry</t>
  </si>
  <si>
    <t>Track (tyre mid-planes)</t>
  </si>
  <si>
    <t>Width over the tyres</t>
  </si>
  <si>
    <t>Caster track (X)</t>
  </si>
  <si>
    <t>Caster wheelbase (Z)</t>
  </si>
  <si>
    <t>Caster swivel envelope radius</t>
  </si>
  <si>
    <t>In-place rotation radius (frame corners)</t>
  </si>
  <si>
    <t>Add the cover thickness</t>
  </si>
  <si>
    <t>4. Stability (casters swivelled inwards)</t>
  </si>
  <si>
    <t>Caster inner contact X</t>
  </si>
  <si>
    <t>Caster inner contact Z</t>
  </si>
  <si>
    <t>Margin to the caster-to-drive-wheel edge</t>
  </si>
  <si>
    <t>Margin to the end edge</t>
  </si>
  <si>
    <t>Smallest margin</t>
  </si>
  <si>
    <t>Tip-over acceleration limit, loaded</t>
  </si>
  <si>
    <t>Tip-over acceleration limit, empty</t>
  </si>
  <si>
    <t>5. Drive, traction and casters</t>
  </si>
  <si>
    <t>Loaded mass</t>
  </si>
  <si>
    <t>Loaded wheel radius</t>
  </si>
  <si>
    <t>Drive force, loaded, slope, target acceleration</t>
  </si>
  <si>
    <t>Torque per wheel, slope case</t>
  </si>
  <si>
    <t>N·m</t>
  </si>
  <si>
    <t>Hub-motor requirement</t>
  </si>
  <si>
    <t>Wheel speed at 1 m/s</t>
  </si>
  <si>
    <t>rpm</t>
  </si>
  <si>
    <t>Drive preload / empty weight</t>
  </si>
  <si>
    <t>Keep below ~70%</t>
  </si>
  <si>
    <t>Load per caster, empty</t>
  </si>
  <si>
    <t>Must stay &gt; ~15 N</t>
  </si>
  <si>
    <t>Load per caster, loaded, static</t>
  </si>
  <si>
    <t>Load per caster, loaded, worst</t>
  </si>
  <si>
    <t>Required caster rating (x1.5)</t>
  </si>
  <si>
    <t>Selected caster strong enough?</t>
  </si>
  <si>
    <t>Max acceleration before slip, loaded, flat (mu nominal)</t>
  </si>
  <si>
    <t>Max acceleration before slip, loaded, flat (mu worst)</t>
  </si>
  <si>
    <t>Motor-controller limit</t>
  </si>
  <si>
    <t>Max acceleration before slip, loaded, slope (mu worst)</t>
  </si>
  <si>
    <t>Max suspension rate at the wheel</t>
  </si>
  <si>
    <t>N/mm</t>
  </si>
  <si>
    <t>Preload compression at the wheel</t>
  </si>
  <si>
    <t>Spring rate at the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</si>
</sst>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sz val="11"/>
      <color rgb="FF0000FF"/>
      <name val="Arial"/>
    </font>
    <font>
      <sz val="9"/>
      <color rgb="FF555555"/>
      <name val="Arial"/>
    </font>
    <font>
      <sz val="11"/>
      <color rgb="FF008000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DCE3EA"/>
      </patternFill>
    </fill>
    <fill>
      <patternFill patternType="solid">
        <fgColor rgb="FFFFFF00"/>
      </patternFill>
    </fill>
    <fill>
      <patternFill patternType="solid">
        <fgColor rgb="FFE8F4EC"/>
      </patternFill>
    </fill>
  </fills>
  <borders count="2">
    <border>
      <left/>
      <right/>
      <top/>
      <bottom/>
      <diagonal/>
    </border>
    <border>
      <left style="thin">
        <color rgb="FFB7BEC7"/>
      </left>
      <right style="thin">
        <color rgb="FFB7BEC7"/>
      </right>
      <top style="thin">
        <color rgb="FFB7BEC7"/>
      </top>
      <bottom style="thin">
        <color rgb="FFB7BEC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9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0" xfId="0" applyFont="1" applyFill="1"/>
    <xf numFmtId="0" fontId="9" fillId="3" borderId="0" xfId="0" applyFont="1" applyFill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6" fillId="4" borderId="1" xfId="0" applyFont="1" applyFill="1" applyBorder="1"/>
    <xf numFmtId="0" fontId="8" fillId="0" borderId="1" xfId="0" applyFont="1" applyBorder="1"/>
    <xf numFmtId="2" fontId="5" fillId="0" borderId="1" xfId="0" applyNumberFormat="1" applyFont="1" applyBorder="1"/>
    <xf numFmtId="0" fontId="4" fillId="0" borderId="0" xfId="0" applyFont="1"/>
    <xf numFmtId="164" fontId="4" fillId="0" borderId="0" xfId="0" applyNumberFormat="1" applyFont="1"/>
    <xf numFmtId="164" fontId="4" fillId="5" borderId="0" xfId="0" applyNumberFormat="1" applyFont="1" applyFill="1"/>
    <xf numFmtId="2" fontId="5" fillId="5" borderId="1" xfId="0" applyNumberFormat="1" applyFont="1" applyFill="1" applyBorder="1"/>
    <xf numFmtId="1" fontId="5" fillId="5" borderId="1" xfId="0" applyNumberFormat="1" applyFont="1" applyFill="1" applyBorder="1"/>
    <xf numFmtId="49" fontId="5" fillId="5" borderId="1" xfId="0" applyNumberFormat="1" applyFont="1" applyFill="1" applyBorder="1"/>
    <xf numFmtId="165" fontId="5" fillId="5" borderId="1" xfId="0" applyNumberFormat="1" applyFont="1" applyFill="1" applyBorder="1"/>
    <xf numFmtId="164" fontId="5" fillId="5" borderId="1" xfId="0" applyNumberFormat="1" applyFont="1" applyFill="1" applyBorder="1"/>
    <xf numFmtId="166" fontId="5" fillId="5" borderId="1" xfId="0" applyNumberFormat="1" applyFont="1" applyFill="1" applyBorder="1"/>
    <xf numFmtId="9" fontId="5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0" customWidth="1"/>
    <col min="2" max="2" width="12" customWidth="1"/>
    <col min="3" max="3" width="8" customWidth="1"/>
    <col min="4" max="4" width="95" customWidth="1"/>
  </cols>
  <sheetData>
    <row r="1" spans="1:4" ht="17.399999999999999" x14ac:dyDescent="0.3">
      <c r="A1" s="1" t="s">
        <v>0</v>
      </c>
      <c r="B1" s="2"/>
      <c r="C1" s="2"/>
      <c r="D1" s="2"/>
    </row>
    <row r="2" spans="1:4" x14ac:dyDescent="0.3">
      <c r="A2" s="3" t="s">
        <v>1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3">
      <c r="A5" s="5" t="s">
        <v>6</v>
      </c>
      <c r="B5" s="6"/>
      <c r="C5" s="6"/>
      <c r="D5" s="6"/>
    </row>
    <row r="6" spans="1:4" x14ac:dyDescent="0.3">
      <c r="A6" s="7" t="s">
        <v>7</v>
      </c>
      <c r="B6" s="8">
        <v>1</v>
      </c>
      <c r="C6" s="7" t="s">
        <v>8</v>
      </c>
      <c r="D6" s="9" t="s">
        <v>9</v>
      </c>
    </row>
    <row r="7" spans="1:4" x14ac:dyDescent="0.3">
      <c r="A7" s="7" t="s">
        <v>10</v>
      </c>
      <c r="B7" s="8">
        <v>262</v>
      </c>
      <c r="C7" s="7" t="s">
        <v>8</v>
      </c>
      <c r="D7" s="9" t="s">
        <v>11</v>
      </c>
    </row>
    <row r="8" spans="1:4" x14ac:dyDescent="0.3">
      <c r="A8" s="7" t="s">
        <v>12</v>
      </c>
      <c r="B8" s="8">
        <v>328</v>
      </c>
      <c r="C8" s="7" t="s">
        <v>8</v>
      </c>
      <c r="D8" s="9" t="s">
        <v>13</v>
      </c>
    </row>
    <row r="9" spans="1:4" x14ac:dyDescent="0.3">
      <c r="A9" s="7" t="s">
        <v>14</v>
      </c>
      <c r="B9" s="8">
        <v>46.35</v>
      </c>
      <c r="C9" s="7" t="s">
        <v>8</v>
      </c>
      <c r="D9" s="9" t="s">
        <v>9</v>
      </c>
    </row>
    <row r="10" spans="1:4" x14ac:dyDescent="0.3">
      <c r="A10" s="7" t="s">
        <v>15</v>
      </c>
      <c r="B10" s="8">
        <v>76.349999999999994</v>
      </c>
      <c r="C10" s="7" t="s">
        <v>8</v>
      </c>
      <c r="D10" s="9" t="s">
        <v>9</v>
      </c>
    </row>
    <row r="11" spans="1:4" x14ac:dyDescent="0.3">
      <c r="A11" s="7" t="s">
        <v>16</v>
      </c>
      <c r="B11" s="8">
        <v>166.35</v>
      </c>
      <c r="C11" s="7" t="s">
        <v>8</v>
      </c>
      <c r="D11" s="9" t="s">
        <v>9</v>
      </c>
    </row>
    <row r="12" spans="1:4" x14ac:dyDescent="0.3">
      <c r="A12" s="7" t="s">
        <v>17</v>
      </c>
      <c r="B12" s="8">
        <v>36.35</v>
      </c>
      <c r="C12" s="7" t="s">
        <v>8</v>
      </c>
      <c r="D12" s="9" t="s">
        <v>9</v>
      </c>
    </row>
    <row r="13" spans="1:4" x14ac:dyDescent="0.3">
      <c r="A13" s="7" t="s">
        <v>18</v>
      </c>
      <c r="B13" s="8">
        <v>87</v>
      </c>
      <c r="C13" s="7" t="s">
        <v>8</v>
      </c>
      <c r="D13" s="9" t="s">
        <v>19</v>
      </c>
    </row>
    <row r="14" spans="1:4" x14ac:dyDescent="0.3">
      <c r="A14" s="7" t="s">
        <v>20</v>
      </c>
      <c r="B14" s="8">
        <v>9.6999999999999993</v>
      </c>
      <c r="C14" s="7" t="s">
        <v>8</v>
      </c>
      <c r="D14" s="9" t="s">
        <v>21</v>
      </c>
    </row>
    <row r="15" spans="1:4" x14ac:dyDescent="0.3">
      <c r="A15" s="7" t="s">
        <v>22</v>
      </c>
      <c r="B15" s="8">
        <v>294.3</v>
      </c>
      <c r="C15" s="7" t="s">
        <v>8</v>
      </c>
      <c r="D15" s="9" t="s">
        <v>23</v>
      </c>
    </row>
    <row r="16" spans="1:4" x14ac:dyDescent="0.3">
      <c r="A16" s="7" t="s">
        <v>24</v>
      </c>
      <c r="B16" s="8">
        <v>271.3</v>
      </c>
      <c r="C16" s="7" t="s">
        <v>8</v>
      </c>
      <c r="D16" s="9" t="s">
        <v>9</v>
      </c>
    </row>
    <row r="17" spans="1:4" x14ac:dyDescent="0.3">
      <c r="A17" s="7" t="s">
        <v>25</v>
      </c>
      <c r="B17" s="8">
        <v>46</v>
      </c>
      <c r="C17" s="7" t="s">
        <v>8</v>
      </c>
      <c r="D17" s="9" t="s">
        <v>9</v>
      </c>
    </row>
    <row r="18" spans="1:4" x14ac:dyDescent="0.3">
      <c r="A18" s="7" t="s">
        <v>26</v>
      </c>
      <c r="B18" s="10">
        <v>172</v>
      </c>
      <c r="C18" s="7" t="s">
        <v>8</v>
      </c>
      <c r="D18" s="9" t="s">
        <v>27</v>
      </c>
    </row>
    <row r="19" spans="1:4" x14ac:dyDescent="0.3">
      <c r="A19" s="7" t="s">
        <v>28</v>
      </c>
      <c r="B19" s="8">
        <v>175</v>
      </c>
      <c r="C19" s="7" t="s">
        <v>8</v>
      </c>
      <c r="D19" s="9" t="s">
        <v>9</v>
      </c>
    </row>
    <row r="20" spans="1:4" x14ac:dyDescent="0.3">
      <c r="A20" s="7" t="s">
        <v>29</v>
      </c>
      <c r="B20" s="8">
        <v>230.8</v>
      </c>
      <c r="C20" s="7" t="s">
        <v>8</v>
      </c>
      <c r="D20" s="9" t="s">
        <v>9</v>
      </c>
    </row>
    <row r="21" spans="1:4" x14ac:dyDescent="0.3">
      <c r="A21" s="7" t="s">
        <v>30</v>
      </c>
      <c r="B21" s="8">
        <v>50.7</v>
      </c>
      <c r="C21" s="7" t="s">
        <v>8</v>
      </c>
      <c r="D21" s="9" t="s">
        <v>9</v>
      </c>
    </row>
    <row r="22" spans="1:4" x14ac:dyDescent="0.3">
      <c r="A22" s="7" t="s">
        <v>31</v>
      </c>
      <c r="B22" s="8">
        <v>23</v>
      </c>
      <c r="C22" s="7" t="s">
        <v>8</v>
      </c>
      <c r="D22" s="9" t="s">
        <v>9</v>
      </c>
    </row>
    <row r="23" spans="1:4" x14ac:dyDescent="0.3">
      <c r="A23" s="7" t="s">
        <v>32</v>
      </c>
      <c r="B23" s="8">
        <v>77.849999999999994</v>
      </c>
      <c r="C23" s="7" t="s">
        <v>8</v>
      </c>
      <c r="D23" s="9" t="s">
        <v>9</v>
      </c>
    </row>
    <row r="24" spans="1:4" x14ac:dyDescent="0.3">
      <c r="A24" s="5" t="s">
        <v>33</v>
      </c>
      <c r="B24" s="6"/>
      <c r="C24" s="6"/>
      <c r="D24" s="6"/>
    </row>
    <row r="25" spans="1:4" x14ac:dyDescent="0.3">
      <c r="A25" s="7" t="s">
        <v>34</v>
      </c>
      <c r="B25" s="8">
        <v>1</v>
      </c>
      <c r="C25" s="7" t="s">
        <v>8</v>
      </c>
      <c r="D25" s="9" t="s">
        <v>35</v>
      </c>
    </row>
    <row r="26" spans="1:4" x14ac:dyDescent="0.3">
      <c r="A26" s="7" t="s">
        <v>36</v>
      </c>
      <c r="B26" s="8">
        <v>5</v>
      </c>
      <c r="C26" s="7" t="s">
        <v>8</v>
      </c>
      <c r="D26" s="9" t="s">
        <v>37</v>
      </c>
    </row>
    <row r="27" spans="1:4" x14ac:dyDescent="0.3">
      <c r="A27" s="7" t="s">
        <v>38</v>
      </c>
      <c r="B27" s="8">
        <v>1</v>
      </c>
      <c r="C27" s="7" t="s">
        <v>8</v>
      </c>
      <c r="D27" s="9"/>
    </row>
    <row r="28" spans="1:4" x14ac:dyDescent="0.3">
      <c r="A28" s="7" t="s">
        <v>39</v>
      </c>
      <c r="B28" s="11">
        <f>'Mass budget'!C16</f>
        <v>36.811279999999996</v>
      </c>
      <c r="C28" s="7" t="s">
        <v>40</v>
      </c>
      <c r="D28" s="9" t="s">
        <v>41</v>
      </c>
    </row>
    <row r="29" spans="1:4" x14ac:dyDescent="0.3">
      <c r="A29" s="7" t="s">
        <v>42</v>
      </c>
      <c r="B29" s="10">
        <v>100</v>
      </c>
      <c r="C29" s="7" t="s">
        <v>40</v>
      </c>
      <c r="D29" s="9" t="s">
        <v>43</v>
      </c>
    </row>
    <row r="30" spans="1:4" x14ac:dyDescent="0.3">
      <c r="A30" s="7" t="s">
        <v>44</v>
      </c>
      <c r="B30" s="8">
        <v>0.5</v>
      </c>
      <c r="C30" s="7" t="s">
        <v>45</v>
      </c>
      <c r="D30" s="9" t="s">
        <v>46</v>
      </c>
    </row>
    <row r="31" spans="1:4" x14ac:dyDescent="0.3">
      <c r="A31" s="7" t="s">
        <v>47</v>
      </c>
      <c r="B31" s="8">
        <v>0.15</v>
      </c>
      <c r="C31" s="7" t="s">
        <v>45</v>
      </c>
      <c r="D31" s="9" t="s">
        <v>48</v>
      </c>
    </row>
    <row r="32" spans="1:4" x14ac:dyDescent="0.3">
      <c r="A32" s="7" t="s">
        <v>49</v>
      </c>
      <c r="B32" s="8">
        <v>0.05</v>
      </c>
      <c r="C32" s="7" t="s">
        <v>45</v>
      </c>
      <c r="D32" s="9"/>
    </row>
    <row r="33" spans="1:4" x14ac:dyDescent="0.3">
      <c r="A33" s="7" t="s">
        <v>50</v>
      </c>
      <c r="B33" s="8">
        <v>0.5</v>
      </c>
      <c r="C33" s="7" t="s">
        <v>51</v>
      </c>
      <c r="D33" s="9"/>
    </row>
    <row r="34" spans="1:4" x14ac:dyDescent="0.3">
      <c r="A34" s="7" t="s">
        <v>52</v>
      </c>
      <c r="B34" s="8">
        <v>2</v>
      </c>
      <c r="C34" s="7" t="s">
        <v>53</v>
      </c>
      <c r="D34" s="9"/>
    </row>
    <row r="35" spans="1:4" x14ac:dyDescent="0.3">
      <c r="A35" s="7" t="s">
        <v>54</v>
      </c>
      <c r="B35" s="8">
        <v>1.4999999999999999E-2</v>
      </c>
      <c r="C35" s="7" t="s">
        <v>55</v>
      </c>
      <c r="D35" s="9"/>
    </row>
    <row r="36" spans="1:4" x14ac:dyDescent="0.3">
      <c r="A36" s="7" t="s">
        <v>56</v>
      </c>
      <c r="B36" s="8">
        <v>0.5</v>
      </c>
      <c r="C36" s="7" t="s">
        <v>55</v>
      </c>
      <c r="D36" s="9"/>
    </row>
    <row r="37" spans="1:4" x14ac:dyDescent="0.3">
      <c r="A37" s="7" t="s">
        <v>57</v>
      </c>
      <c r="B37" s="8">
        <v>0.4</v>
      </c>
      <c r="C37" s="7" t="s">
        <v>55</v>
      </c>
      <c r="D37" s="9"/>
    </row>
    <row r="38" spans="1:4" x14ac:dyDescent="0.3">
      <c r="A38" s="7" t="s">
        <v>58</v>
      </c>
      <c r="B38" s="8">
        <v>9.81</v>
      </c>
      <c r="C38" s="7" t="s">
        <v>51</v>
      </c>
      <c r="D38" s="9"/>
    </row>
    <row r="39" spans="1:4" x14ac:dyDescent="0.3">
      <c r="A39" s="7" t="s">
        <v>59</v>
      </c>
      <c r="B39" s="10">
        <v>120</v>
      </c>
      <c r="C39" s="7" t="s">
        <v>60</v>
      </c>
      <c r="D39" s="9" t="s">
        <v>61</v>
      </c>
    </row>
    <row r="40" spans="1:4" x14ac:dyDescent="0.3">
      <c r="A40" s="7" t="s">
        <v>62</v>
      </c>
      <c r="B40" s="8">
        <v>5</v>
      </c>
      <c r="C40" s="7" t="s">
        <v>8</v>
      </c>
      <c r="D40" s="9"/>
    </row>
    <row r="41" spans="1:4" x14ac:dyDescent="0.3">
      <c r="A41" s="7" t="s">
        <v>63</v>
      </c>
      <c r="B41" s="8">
        <v>0.25</v>
      </c>
      <c r="C41" s="7" t="s">
        <v>55</v>
      </c>
      <c r="D41" s="9"/>
    </row>
    <row r="42" spans="1:4" x14ac:dyDescent="0.3">
      <c r="A42" s="7" t="s">
        <v>64</v>
      </c>
      <c r="B42" s="8">
        <v>1</v>
      </c>
      <c r="C42" s="7" t="s">
        <v>55</v>
      </c>
      <c r="D42" s="9" t="s">
        <v>65</v>
      </c>
    </row>
    <row r="43" spans="1:4" x14ac:dyDescent="0.3">
      <c r="A43" s="7" t="s">
        <v>66</v>
      </c>
      <c r="B43" s="10">
        <v>64</v>
      </c>
      <c r="C43" s="7" t="s">
        <v>8</v>
      </c>
      <c r="D43" s="9" t="s">
        <v>67</v>
      </c>
    </row>
    <row r="44" spans="1:4" x14ac:dyDescent="0.3">
      <c r="A44" s="7" t="s">
        <v>68</v>
      </c>
      <c r="B44" s="8">
        <v>160</v>
      </c>
      <c r="C44" s="7" t="s">
        <v>40</v>
      </c>
      <c r="D44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4.4" x14ac:dyDescent="0.3"/>
  <cols>
    <col min="1" max="1" width="55" customWidth="1"/>
    <col min="2" max="2" width="8" customWidth="1"/>
    <col min="3" max="3" width="16" customWidth="1"/>
    <col min="4" max="4" width="15" customWidth="1"/>
    <col min="5" max="5" width="70" customWidth="1"/>
  </cols>
  <sheetData>
    <row r="1" spans="1:5" ht="17.399999999999999" x14ac:dyDescent="0.3">
      <c r="A1" s="1" t="s">
        <v>69</v>
      </c>
      <c r="B1" s="2"/>
      <c r="C1" s="2"/>
      <c r="D1" s="2"/>
      <c r="E1" s="2"/>
    </row>
    <row r="2" spans="1:5" x14ac:dyDescent="0.3">
      <c r="A2" s="2"/>
      <c r="B2" s="2"/>
      <c r="C2" s="2"/>
      <c r="D2" s="2"/>
      <c r="E2" s="2"/>
    </row>
    <row r="3" spans="1:5" x14ac:dyDescent="0.3">
      <c r="A3" s="4" t="s">
        <v>70</v>
      </c>
      <c r="B3" s="4" t="s">
        <v>71</v>
      </c>
      <c r="C3" s="4" t="s">
        <v>72</v>
      </c>
      <c r="D3" s="4" t="s">
        <v>73</v>
      </c>
      <c r="E3" s="4" t="s">
        <v>5</v>
      </c>
    </row>
    <row r="4" spans="1:5" x14ac:dyDescent="0.3">
      <c r="A4" s="7" t="s">
        <v>74</v>
      </c>
      <c r="B4" s="8">
        <v>6.6719999999999997</v>
      </c>
      <c r="C4" s="12">
        <f t="shared" ref="C4:C13" si="0">B4*D4</f>
        <v>6.0047999999999995</v>
      </c>
      <c r="D4" s="8">
        <v>0.9</v>
      </c>
      <c r="E4" s="9" t="s">
        <v>75</v>
      </c>
    </row>
    <row r="5" spans="1:5" x14ac:dyDescent="0.3">
      <c r="A5" s="7" t="s">
        <v>76</v>
      </c>
      <c r="B5" s="8">
        <v>1</v>
      </c>
      <c r="C5" s="12">
        <f t="shared" si="0"/>
        <v>1.2</v>
      </c>
      <c r="D5" s="8">
        <v>1.2</v>
      </c>
      <c r="E5" s="9" t="s">
        <v>48</v>
      </c>
    </row>
    <row r="6" spans="1:5" x14ac:dyDescent="0.3">
      <c r="A6" s="7" t="s">
        <v>77</v>
      </c>
      <c r="B6" s="8">
        <v>1</v>
      </c>
      <c r="C6" s="12">
        <f t="shared" si="0"/>
        <v>2.16</v>
      </c>
      <c r="D6" s="8">
        <v>2.16</v>
      </c>
      <c r="E6" s="9" t="s">
        <v>78</v>
      </c>
    </row>
    <row r="7" spans="1:5" x14ac:dyDescent="0.3">
      <c r="A7" s="7" t="s">
        <v>79</v>
      </c>
      <c r="B7" s="8">
        <v>2</v>
      </c>
      <c r="C7" s="12">
        <f t="shared" si="0"/>
        <v>6.2</v>
      </c>
      <c r="D7" s="8">
        <v>3.1</v>
      </c>
      <c r="E7" s="9" t="s">
        <v>80</v>
      </c>
    </row>
    <row r="8" spans="1:5" x14ac:dyDescent="0.3">
      <c r="A8" s="7" t="s">
        <v>81</v>
      </c>
      <c r="B8" s="8">
        <v>4</v>
      </c>
      <c r="C8" s="12">
        <f t="shared" si="0"/>
        <v>1.4</v>
      </c>
      <c r="D8" s="8">
        <v>0.35</v>
      </c>
      <c r="E8" s="9" t="s">
        <v>48</v>
      </c>
    </row>
    <row r="9" spans="1:5" x14ac:dyDescent="0.3">
      <c r="A9" s="7" t="s">
        <v>82</v>
      </c>
      <c r="B9" s="8">
        <v>2</v>
      </c>
      <c r="C9" s="12">
        <f t="shared" si="0"/>
        <v>2</v>
      </c>
      <c r="D9" s="8">
        <v>1</v>
      </c>
      <c r="E9" s="9" t="s">
        <v>48</v>
      </c>
    </row>
    <row r="10" spans="1:5" x14ac:dyDescent="0.3">
      <c r="A10" s="7" t="s">
        <v>83</v>
      </c>
      <c r="B10" s="8">
        <v>1</v>
      </c>
      <c r="C10" s="12">
        <f t="shared" si="0"/>
        <v>5</v>
      </c>
      <c r="D10" s="8">
        <v>5</v>
      </c>
      <c r="E10" s="9" t="s">
        <v>84</v>
      </c>
    </row>
    <row r="11" spans="1:5" x14ac:dyDescent="0.3">
      <c r="A11" s="7" t="s">
        <v>85</v>
      </c>
      <c r="B11" s="8">
        <v>1</v>
      </c>
      <c r="C11" s="12">
        <f t="shared" si="0"/>
        <v>3</v>
      </c>
      <c r="D11" s="8">
        <v>3</v>
      </c>
      <c r="E11" s="9" t="s">
        <v>48</v>
      </c>
    </row>
    <row r="12" spans="1:5" x14ac:dyDescent="0.3">
      <c r="A12" s="7" t="s">
        <v>86</v>
      </c>
      <c r="B12" s="8">
        <v>1</v>
      </c>
      <c r="C12" s="12">
        <f t="shared" si="0"/>
        <v>2.5</v>
      </c>
      <c r="D12" s="8">
        <v>2.5</v>
      </c>
      <c r="E12" s="9" t="s">
        <v>48</v>
      </c>
    </row>
    <row r="13" spans="1:5" x14ac:dyDescent="0.3">
      <c r="A13" s="7" t="s">
        <v>87</v>
      </c>
      <c r="B13" s="8">
        <v>1</v>
      </c>
      <c r="C13" s="12">
        <f t="shared" si="0"/>
        <v>4</v>
      </c>
      <c r="D13" s="8">
        <v>4</v>
      </c>
      <c r="E13" s="9" t="s">
        <v>88</v>
      </c>
    </row>
    <row r="14" spans="1:5" x14ac:dyDescent="0.3">
      <c r="A14" s="13" t="s">
        <v>89</v>
      </c>
      <c r="B14" s="2"/>
      <c r="C14" s="14">
        <f>SUM(C4:C13)</f>
        <v>33.464799999999997</v>
      </c>
      <c r="D14" s="2"/>
      <c r="E14" s="2"/>
    </row>
    <row r="15" spans="1:5" x14ac:dyDescent="0.3">
      <c r="A15" s="13" t="s">
        <v>90</v>
      </c>
      <c r="B15" s="2"/>
      <c r="C15" s="14">
        <f>0.1*C14</f>
        <v>3.3464799999999997</v>
      </c>
      <c r="D15" s="2"/>
      <c r="E15" s="2"/>
    </row>
    <row r="16" spans="1:5" x14ac:dyDescent="0.3">
      <c r="A16" s="13" t="s">
        <v>91</v>
      </c>
      <c r="B16" s="2"/>
      <c r="C16" s="15">
        <f>C14+C15</f>
        <v>36.811279999999996</v>
      </c>
      <c r="D16" s="2"/>
      <c r="E1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2" customWidth="1"/>
    <col min="2" max="2" width="14" customWidth="1"/>
    <col min="3" max="3" width="8" customWidth="1"/>
    <col min="4" max="4" width="55" customWidth="1"/>
  </cols>
  <sheetData>
    <row r="1" spans="1:4" ht="17.399999999999999" x14ac:dyDescent="0.3">
      <c r="A1" s="1" t="s">
        <v>92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4" t="s">
        <v>93</v>
      </c>
      <c r="B3" s="4" t="s">
        <v>3</v>
      </c>
      <c r="C3" s="4" t="s">
        <v>4</v>
      </c>
      <c r="D3" s="4" t="s">
        <v>94</v>
      </c>
    </row>
    <row r="4" spans="1:4" x14ac:dyDescent="0.3">
      <c r="A4" s="5" t="s">
        <v>95</v>
      </c>
      <c r="B4" s="6"/>
      <c r="C4" s="6"/>
      <c r="D4" s="6"/>
    </row>
    <row r="5" spans="1:4" x14ac:dyDescent="0.3">
      <c r="A5" s="7" t="s">
        <v>96</v>
      </c>
      <c r="B5" s="16">
        <f>Inputs!$B$13-Inputs!$B$18/2</f>
        <v>1</v>
      </c>
      <c r="C5" s="7" t="s">
        <v>8</v>
      </c>
      <c r="D5" s="9" t="s">
        <v>97</v>
      </c>
    </row>
    <row r="6" spans="1:4" x14ac:dyDescent="0.3">
      <c r="A6" s="7" t="s">
        <v>98</v>
      </c>
      <c r="B6" s="16">
        <f>$B$5-Inputs!$B$6</f>
        <v>0</v>
      </c>
      <c r="C6" s="7" t="s">
        <v>8</v>
      </c>
      <c r="D6" s="9" t="s">
        <v>99</v>
      </c>
    </row>
    <row r="7" spans="1:4" x14ac:dyDescent="0.3">
      <c r="A7" s="7" t="s">
        <v>100</v>
      </c>
      <c r="B7" s="16">
        <f>Inputs!$B$10-Inputs!$B$6</f>
        <v>75.349999999999994</v>
      </c>
      <c r="C7" s="7" t="s">
        <v>8</v>
      </c>
      <c r="D7" s="9"/>
    </row>
    <row r="8" spans="1:4" x14ac:dyDescent="0.3">
      <c r="A8" s="7" t="s">
        <v>101</v>
      </c>
      <c r="B8" s="16">
        <f>Inputs!$B$23-Inputs!$B$10</f>
        <v>1.5</v>
      </c>
      <c r="C8" s="7" t="s">
        <v>8</v>
      </c>
      <c r="D8" s="9" t="s">
        <v>102</v>
      </c>
    </row>
    <row r="9" spans="1:4" x14ac:dyDescent="0.3">
      <c r="A9" s="7" t="s">
        <v>103</v>
      </c>
      <c r="B9" s="16">
        <f>Inputs!$B$9-Inputs!$B$6</f>
        <v>45.35</v>
      </c>
      <c r="C9" s="7" t="s">
        <v>8</v>
      </c>
      <c r="D9" s="9"/>
    </row>
    <row r="10" spans="1:4" x14ac:dyDescent="0.3">
      <c r="A10" s="7" t="s">
        <v>104</v>
      </c>
      <c r="B10" s="16">
        <f>Inputs!$B$12-Inputs!$B$6</f>
        <v>35.35</v>
      </c>
      <c r="C10" s="7" t="s">
        <v>8</v>
      </c>
      <c r="D10" s="9"/>
    </row>
    <row r="11" spans="1:4" x14ac:dyDescent="0.3">
      <c r="A11" s="7" t="s">
        <v>105</v>
      </c>
      <c r="B11" s="16">
        <f>Inputs!$B$13+Inputs!$B$18/2-Inputs!$B$11</f>
        <v>6.6500000000000057</v>
      </c>
      <c r="C11" s="7" t="s">
        <v>8</v>
      </c>
      <c r="D11" s="9" t="s">
        <v>106</v>
      </c>
    </row>
    <row r="12" spans="1:4" x14ac:dyDescent="0.3">
      <c r="A12" s="7" t="s">
        <v>107</v>
      </c>
      <c r="B12" s="16">
        <f>Inputs!$B$16-Inputs!$B$7</f>
        <v>9.3000000000000114</v>
      </c>
      <c r="C12" s="7" t="s">
        <v>8</v>
      </c>
      <c r="D12" s="9"/>
    </row>
    <row r="13" spans="1:4" x14ac:dyDescent="0.3">
      <c r="A13" s="5" t="s">
        <v>108</v>
      </c>
      <c r="B13" s="6"/>
      <c r="C13" s="6"/>
      <c r="D13" s="6"/>
    </row>
    <row r="14" spans="1:4" x14ac:dyDescent="0.3">
      <c r="A14" s="7" t="s">
        <v>109</v>
      </c>
      <c r="B14" s="16">
        <f>Inputs!$B$13-Inputs!$B$14-Inputs!$B$10</f>
        <v>0.95000000000000284</v>
      </c>
      <c r="C14" s="7" t="s">
        <v>8</v>
      </c>
      <c r="D14" s="9"/>
    </row>
    <row r="15" spans="1:4" x14ac:dyDescent="0.3">
      <c r="A15" s="7" t="s">
        <v>110</v>
      </c>
      <c r="B15" s="16">
        <f>Inputs!$B$6+Inputs!$B$18/2-Inputs!$B$25-Inputs!$B$14-Inputs!$B$10</f>
        <v>-4.9999999999997158E-2</v>
      </c>
      <c r="C15" s="7" t="s">
        <v>8</v>
      </c>
      <c r="D15" s="9" t="s">
        <v>111</v>
      </c>
    </row>
    <row r="16" spans="1:4" x14ac:dyDescent="0.3">
      <c r="A16" s="7" t="s">
        <v>112</v>
      </c>
      <c r="B16" s="16">
        <f>Inputs!$B$26+Inputs!$B$27</f>
        <v>6</v>
      </c>
      <c r="C16" s="7" t="s">
        <v>8</v>
      </c>
      <c r="D16" s="9"/>
    </row>
    <row r="17" spans="1:4" x14ac:dyDescent="0.3">
      <c r="A17" s="7" t="s">
        <v>113</v>
      </c>
      <c r="B17" s="17">
        <f>MAX(0,ROUNDUP($B$16-$B$15,0))</f>
        <v>7</v>
      </c>
      <c r="C17" s="7" t="s">
        <v>8</v>
      </c>
      <c r="D17" s="9" t="s">
        <v>114</v>
      </c>
    </row>
    <row r="18" spans="1:4" x14ac:dyDescent="0.3">
      <c r="A18" s="7" t="s">
        <v>115</v>
      </c>
      <c r="B18" s="16">
        <f>$B$7-$B$17</f>
        <v>68.349999999999994</v>
      </c>
      <c r="C18" s="7" t="s">
        <v>8</v>
      </c>
      <c r="D18" s="9" t="s">
        <v>116</v>
      </c>
    </row>
    <row r="19" spans="1:4" x14ac:dyDescent="0.3">
      <c r="A19" s="7" t="s">
        <v>117</v>
      </c>
      <c r="B19" s="16">
        <f>$B$18-Inputs!$B$43</f>
        <v>4.3499999999999943</v>
      </c>
      <c r="C19" s="7" t="s">
        <v>8</v>
      </c>
      <c r="D19" s="9"/>
    </row>
    <row r="20" spans="1:4" x14ac:dyDescent="0.3">
      <c r="A20" s="7" t="s">
        <v>118</v>
      </c>
      <c r="B20" s="18" t="str">
        <f>IF($B$19&lt;0,"NO: too tall","OK")</f>
        <v>OK</v>
      </c>
      <c r="C20" s="7"/>
      <c r="D20" s="9"/>
    </row>
    <row r="21" spans="1:4" x14ac:dyDescent="0.3">
      <c r="A21" s="7" t="s">
        <v>119</v>
      </c>
      <c r="B21" s="16">
        <f>$B$10-$B$17</f>
        <v>28.35</v>
      </c>
      <c r="C21" s="7" t="s">
        <v>8</v>
      </c>
      <c r="D21" s="9"/>
    </row>
    <row r="22" spans="1:4" x14ac:dyDescent="0.3">
      <c r="A22" s="7" t="s">
        <v>120</v>
      </c>
      <c r="B22" s="16">
        <f>$B$11+$B$17</f>
        <v>13.650000000000006</v>
      </c>
      <c r="C22" s="7" t="s">
        <v>8</v>
      </c>
      <c r="D22" s="9"/>
    </row>
    <row r="23" spans="1:4" x14ac:dyDescent="0.3">
      <c r="A23" s="5" t="s">
        <v>121</v>
      </c>
      <c r="B23" s="6"/>
      <c r="C23" s="6"/>
      <c r="D23" s="6"/>
    </row>
    <row r="24" spans="1:4" x14ac:dyDescent="0.3">
      <c r="A24" s="7" t="s">
        <v>122</v>
      </c>
      <c r="B24" s="16">
        <f>2*Inputs!$B$15</f>
        <v>588.6</v>
      </c>
      <c r="C24" s="7" t="s">
        <v>8</v>
      </c>
      <c r="D24" s="9"/>
    </row>
    <row r="25" spans="1:4" x14ac:dyDescent="0.3">
      <c r="A25" s="7" t="s">
        <v>123</v>
      </c>
      <c r="B25" s="16">
        <f>2*(Inputs!$B$16+Inputs!$B$17)</f>
        <v>634.6</v>
      </c>
      <c r="C25" s="7" t="s">
        <v>8</v>
      </c>
      <c r="D25" s="9"/>
    </row>
    <row r="26" spans="1:4" x14ac:dyDescent="0.3">
      <c r="A26" s="7" t="s">
        <v>124</v>
      </c>
      <c r="B26" s="16">
        <f>2*Inputs!$B$19</f>
        <v>350</v>
      </c>
      <c r="C26" s="7" t="s">
        <v>8</v>
      </c>
      <c r="D26" s="9"/>
    </row>
    <row r="27" spans="1:4" x14ac:dyDescent="0.3">
      <c r="A27" s="7" t="s">
        <v>125</v>
      </c>
      <c r="B27" s="16">
        <f>2*Inputs!$B$20</f>
        <v>461.6</v>
      </c>
      <c r="C27" s="7" t="s">
        <v>8</v>
      </c>
      <c r="D27" s="9"/>
    </row>
    <row r="28" spans="1:4" x14ac:dyDescent="0.3">
      <c r="A28" s="7" t="s">
        <v>126</v>
      </c>
      <c r="B28" s="16">
        <f>Inputs!$B$22+Inputs!$B$21/2</f>
        <v>48.35</v>
      </c>
      <c r="C28" s="7" t="s">
        <v>8</v>
      </c>
      <c r="D28" s="9"/>
    </row>
    <row r="29" spans="1:4" x14ac:dyDescent="0.3">
      <c r="A29" s="7" t="s">
        <v>127</v>
      </c>
      <c r="B29" s="16">
        <f>SQRT(Inputs!$B$7^2+Inputs!$B$8^2)</f>
        <v>419.79518815727272</v>
      </c>
      <c r="C29" s="7" t="s">
        <v>8</v>
      </c>
      <c r="D29" s="9" t="s">
        <v>128</v>
      </c>
    </row>
    <row r="30" spans="1:4" x14ac:dyDescent="0.3">
      <c r="A30" s="5" t="s">
        <v>129</v>
      </c>
      <c r="B30" s="6"/>
      <c r="C30" s="6"/>
      <c r="D30" s="6"/>
    </row>
    <row r="31" spans="1:4" x14ac:dyDescent="0.3">
      <c r="A31" s="7" t="s">
        <v>130</v>
      </c>
      <c r="B31" s="16">
        <f>Inputs!$B$19-Inputs!$B$22</f>
        <v>152</v>
      </c>
      <c r="C31" s="7" t="s">
        <v>8</v>
      </c>
      <c r="D31" s="9"/>
    </row>
    <row r="32" spans="1:4" x14ac:dyDescent="0.3">
      <c r="A32" s="7" t="s">
        <v>131</v>
      </c>
      <c r="B32" s="16">
        <f>Inputs!$B$20-Inputs!$B$22</f>
        <v>207.8</v>
      </c>
      <c r="C32" s="7" t="s">
        <v>8</v>
      </c>
      <c r="D32" s="9"/>
    </row>
    <row r="33" spans="1:4" x14ac:dyDescent="0.3">
      <c r="A33" s="7" t="s">
        <v>132</v>
      </c>
      <c r="B33" s="19">
        <f>ABS(Inputs!$B$15*$B$32)/SQRT((Inputs!$B$15-$B$31)^2+$B$32^2)/1000</f>
        <v>0.24282198475179953</v>
      </c>
      <c r="C33" s="7" t="s">
        <v>45</v>
      </c>
      <c r="D33" s="9"/>
    </row>
    <row r="34" spans="1:4" x14ac:dyDescent="0.3">
      <c r="A34" s="7" t="s">
        <v>133</v>
      </c>
      <c r="B34" s="19">
        <f>$B$32/1000</f>
        <v>0.20780000000000001</v>
      </c>
      <c r="C34" s="7" t="s">
        <v>45</v>
      </c>
      <c r="D34" s="9"/>
    </row>
    <row r="35" spans="1:4" x14ac:dyDescent="0.3">
      <c r="A35" s="7" t="s">
        <v>134</v>
      </c>
      <c r="B35" s="19">
        <f>MIN($B$33,$B$34)</f>
        <v>0.20780000000000001</v>
      </c>
      <c r="C35" s="7" t="s">
        <v>45</v>
      </c>
      <c r="D35" s="9"/>
    </row>
    <row r="36" spans="1:4" x14ac:dyDescent="0.3">
      <c r="A36" s="7" t="s">
        <v>135</v>
      </c>
      <c r="B36" s="16">
        <f>Inputs!$B$38*($B$35-Inputs!$B$32)/Inputs!$B$30</f>
        <v>3.0960360000000002</v>
      </c>
      <c r="C36" s="7" t="s">
        <v>51</v>
      </c>
      <c r="D36" s="9"/>
    </row>
    <row r="37" spans="1:4" x14ac:dyDescent="0.3">
      <c r="A37" s="7" t="s">
        <v>136</v>
      </c>
      <c r="B37" s="16">
        <f>Inputs!$B$38*$B$35/Inputs!$B$31</f>
        <v>13.590120000000002</v>
      </c>
      <c r="C37" s="7" t="s">
        <v>51</v>
      </c>
      <c r="D37" s="9"/>
    </row>
    <row r="38" spans="1:4" x14ac:dyDescent="0.3">
      <c r="A38" s="5" t="s">
        <v>137</v>
      </c>
      <c r="B38" s="6"/>
      <c r="C38" s="6"/>
      <c r="D38" s="6"/>
    </row>
    <row r="39" spans="1:4" x14ac:dyDescent="0.3">
      <c r="A39" s="7" t="s">
        <v>138</v>
      </c>
      <c r="B39" s="20">
        <f>Inputs!$B$28+Inputs!$B$29</f>
        <v>136.81128000000001</v>
      </c>
      <c r="C39" s="7" t="s">
        <v>40</v>
      </c>
      <c r="D39" s="9"/>
    </row>
    <row r="40" spans="1:4" x14ac:dyDescent="0.3">
      <c r="A40" s="7" t="s">
        <v>139</v>
      </c>
      <c r="B40" s="21">
        <f>(Inputs!$B$18/2-Inputs!$B$25)/1000</f>
        <v>8.5000000000000006E-2</v>
      </c>
      <c r="C40" s="7" t="s">
        <v>45</v>
      </c>
      <c r="D40" s="9"/>
    </row>
    <row r="41" spans="1:4" x14ac:dyDescent="0.3">
      <c r="A41" s="7" t="s">
        <v>140</v>
      </c>
      <c r="B41" s="16">
        <f>$B$39*(Inputs!$B$38*Inputs!$B$35*COS(RADIANS(Inputs!$B$34))+Inputs!$B$38*SIN(RADIANS(Inputs!$B$34))+Inputs!$B$33)</f>
        <v>135.36442175301329</v>
      </c>
      <c r="C41" s="7" t="s">
        <v>60</v>
      </c>
      <c r="D41" s="9"/>
    </row>
    <row r="42" spans="1:4" x14ac:dyDescent="0.3">
      <c r="A42" s="7" t="s">
        <v>141</v>
      </c>
      <c r="B42" s="16">
        <f>$B$41/2*$B$40</f>
        <v>5.7529879245030653</v>
      </c>
      <c r="C42" s="7" t="s">
        <v>142</v>
      </c>
      <c r="D42" s="9" t="s">
        <v>143</v>
      </c>
    </row>
    <row r="43" spans="1:4" x14ac:dyDescent="0.3">
      <c r="A43" s="7" t="s">
        <v>144</v>
      </c>
      <c r="B43" s="20">
        <f>60/(PI()*Inputs!$B$18/1000)</f>
        <v>111.03833238969442</v>
      </c>
      <c r="C43" s="7" t="s">
        <v>145</v>
      </c>
      <c r="D43" s="9"/>
    </row>
    <row r="44" spans="1:4" x14ac:dyDescent="0.3">
      <c r="A44" s="7" t="s">
        <v>146</v>
      </c>
      <c r="B44" s="22">
        <f>2*Inputs!$B$39/(Inputs!$B$28*Inputs!$B$38)</f>
        <v>0.66460149726609197</v>
      </c>
      <c r="C44" s="7" t="s">
        <v>55</v>
      </c>
      <c r="D44" s="9" t="s">
        <v>147</v>
      </c>
    </row>
    <row r="45" spans="1:4" x14ac:dyDescent="0.3">
      <c r="A45" s="7" t="s">
        <v>148</v>
      </c>
      <c r="B45" s="20">
        <f>(Inputs!$B$28*Inputs!$B$38-2*Inputs!$B$39)/4</f>
        <v>30.279664199999999</v>
      </c>
      <c r="C45" s="7" t="s">
        <v>60</v>
      </c>
      <c r="D45" s="9" t="s">
        <v>149</v>
      </c>
    </row>
    <row r="46" spans="1:4" x14ac:dyDescent="0.3">
      <c r="A46" s="7" t="s">
        <v>150</v>
      </c>
      <c r="B46" s="20">
        <f>($B$39*Inputs!$B$38-2*Inputs!$B$39)/4</f>
        <v>275.52966420000007</v>
      </c>
      <c r="C46" s="7" t="s">
        <v>60</v>
      </c>
      <c r="D46" s="9"/>
    </row>
    <row r="47" spans="1:4" x14ac:dyDescent="0.3">
      <c r="A47" s="7" t="s">
        <v>151</v>
      </c>
      <c r="B47" s="20">
        <f>$B$46+$B$39*Inputs!$B$33*Inputs!$B$30/($B$27/1000)/2+$B$39*Inputs!$B$38*Inputs!$B$32/($B$27/1000)/2</f>
        <v>385.26618157435018</v>
      </c>
      <c r="C47" s="7" t="s">
        <v>60</v>
      </c>
      <c r="D47" s="9"/>
    </row>
    <row r="48" spans="1:4" x14ac:dyDescent="0.3">
      <c r="A48" s="7" t="s">
        <v>152</v>
      </c>
      <c r="B48" s="20">
        <f>$B$47*1.5/Inputs!$B$38</f>
        <v>58.909202075588709</v>
      </c>
      <c r="C48" s="7" t="s">
        <v>40</v>
      </c>
      <c r="D48" s="9"/>
    </row>
    <row r="49" spans="1:4" x14ac:dyDescent="0.3">
      <c r="A49" s="7" t="s">
        <v>153</v>
      </c>
      <c r="B49" s="18" t="str">
        <f>IF(Inputs!$B$44&gt;=$B$48,"OK","NO")</f>
        <v>OK</v>
      </c>
      <c r="C49" s="7"/>
      <c r="D49" s="9"/>
    </row>
    <row r="50" spans="1:4" x14ac:dyDescent="0.3">
      <c r="A50" s="7" t="s">
        <v>154</v>
      </c>
      <c r="B50" s="16">
        <f>(2*Inputs!$B$36*Inputs!$B$39-$B$39*Inputs!$B$38*Inputs!$B$35)/$B$39</f>
        <v>0.72997065847202058</v>
      </c>
      <c r="C50" s="7" t="s">
        <v>51</v>
      </c>
      <c r="D50" s="9"/>
    </row>
    <row r="51" spans="1:4" x14ac:dyDescent="0.3">
      <c r="A51" s="7" t="s">
        <v>155</v>
      </c>
      <c r="B51" s="16">
        <f>(2*Inputs!$B$37*Inputs!$B$39-$B$39*Inputs!$B$38*Inputs!$B$35)/$B$39</f>
        <v>0.55454652677761651</v>
      </c>
      <c r="C51" s="7" t="s">
        <v>51</v>
      </c>
      <c r="D51" s="9" t="s">
        <v>156</v>
      </c>
    </row>
    <row r="52" spans="1:4" x14ac:dyDescent="0.3">
      <c r="A52" s="7" t="s">
        <v>157</v>
      </c>
      <c r="B52" s="16">
        <f>(2*Inputs!$B$37*Inputs!$B$39-$B$39*Inputs!$B$38*(Inputs!$B$35*COS(RADIANS(Inputs!$B$34))+SIN(RADIANS(Inputs!$B$34))))/$B$39</f>
        <v>0.21227210393022197</v>
      </c>
      <c r="C52" s="7" t="s">
        <v>51</v>
      </c>
      <c r="D52" s="9"/>
    </row>
    <row r="53" spans="1:4" x14ac:dyDescent="0.3">
      <c r="A53" s="7" t="s">
        <v>158</v>
      </c>
      <c r="B53" s="16">
        <f>Inputs!$B$41*Inputs!$B$39/Inputs!$B$40</f>
        <v>6</v>
      </c>
      <c r="C53" s="7" t="s">
        <v>159</v>
      </c>
      <c r="D53" s="9"/>
    </row>
    <row r="54" spans="1:4" x14ac:dyDescent="0.3">
      <c r="A54" s="7" t="s">
        <v>160</v>
      </c>
      <c r="B54" s="16">
        <f>Inputs!$B$39/$B$53</f>
        <v>20</v>
      </c>
      <c r="C54" s="7" t="s">
        <v>8</v>
      </c>
      <c r="D54" s="9"/>
    </row>
    <row r="55" spans="1:4" x14ac:dyDescent="0.3">
      <c r="A55" s="7" t="s">
        <v>161</v>
      </c>
      <c r="B55" s="16">
        <f>$B$53/Inputs!$B$42^2</f>
        <v>6</v>
      </c>
      <c r="C55" s="7" t="s">
        <v>159</v>
      </c>
      <c r="D55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Mass budget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saleh nassar</cp:lastModifiedBy>
  <dcterms:created xsi:type="dcterms:W3CDTF">2026-10-19T21:15:06Z</dcterms:created>
  <dcterms:modified xsi:type="dcterms:W3CDTF">2026-10-19T21:15:17Z</dcterms:modified>
</cp:coreProperties>
</file>