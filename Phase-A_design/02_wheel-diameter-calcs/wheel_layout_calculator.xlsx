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Mass budget" sheetId="2" state="visible" r:id="rId2"/>
    <sheet xmlns:r="http://schemas.openxmlformats.org/officeDocument/2006/relationships" name="Results" sheetId="3" state="visible" r:id="rId3"/>
    <sheet xmlns:r="http://schemas.openxmlformats.org/officeDocument/2006/relationships" name="Coordinates" sheetId="4" state="visible" r:id="rId4"/>
    <sheet xmlns:r="http://schemas.openxmlformats.org/officeDocument/2006/relationships" name="Caster op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</font>
    <font>
      <name val="Arial"/>
      <b val="1"/>
      <color rgb="00FFFFFF"/>
    </font>
    <font>
      <name val="Arial"/>
      <b val="1"/>
    </font>
    <font>
      <name val="Arial"/>
    </font>
    <font>
      <name val="Arial"/>
      <color rgb="000000FF"/>
    </font>
    <font>
      <name val="Arial"/>
      <color rgb="00555555"/>
      <sz val="9"/>
    </font>
    <font>
      <name val="Arial"/>
      <color rgb="00008000"/>
    </font>
    <font>
      <name val="Arial"/>
      <color theme="1"/>
      <sz val="11"/>
    </font>
  </fonts>
  <fills count="6">
    <fill>
      <patternFill/>
    </fill>
    <fill>
      <patternFill patternType="gray125"/>
    </fill>
    <fill>
      <patternFill patternType="solid">
        <fgColor rgb="002F4F6F"/>
      </patternFill>
    </fill>
    <fill>
      <patternFill patternType="solid">
        <fgColor rgb="00DCE3EA"/>
      </patternFill>
    </fill>
    <fill>
      <patternFill patternType="solid">
        <fgColor rgb="00FFFF00"/>
      </patternFill>
    </fill>
    <fill>
      <patternFill patternType="solid">
        <fgColor rgb="00E8F4EC"/>
      </patternFill>
    </fill>
  </fills>
  <borders count="2">
    <border>
      <left/>
      <right/>
      <top/>
      <bottom/>
      <diagonal/>
    </border>
    <border>
      <left style="thin">
        <color rgb="00B7BEC7"/>
      </left>
      <right style="thin">
        <color rgb="00B7BEC7"/>
      </right>
      <top style="thin">
        <color rgb="00B7BEC7"/>
      </top>
      <bottom style="thin">
        <color rgb="00B7BEC7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9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0" pivotButton="0" quotePrefix="0" xfId="0"/>
    <xf numFmtId="0" fontId="9" fillId="3" borderId="0" pivotButton="0" quotePrefix="0" xfId="0"/>
    <xf numFmtId="0" fontId="5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0" fontId="6" fillId="4" borderId="1" pivotButton="0" quotePrefix="0" xfId="0"/>
    <xf numFmtId="0" fontId="8" fillId="0" borderId="1" pivotButton="0" quotePrefix="0" xfId="0"/>
    <xf numFmtId="2" fontId="5" fillId="0" borderId="1" pivotButton="0" quotePrefix="0" xfId="0"/>
    <xf numFmtId="0" fontId="4" fillId="0" borderId="0" pivotButton="0" quotePrefix="0" xfId="0"/>
    <xf numFmtId="164" fontId="4" fillId="0" borderId="0" pivotButton="0" quotePrefix="0" xfId="0"/>
    <xf numFmtId="164" fontId="4" fillId="5" borderId="0" pivotButton="0" quotePrefix="0" xfId="0"/>
    <xf numFmtId="164" fontId="5" fillId="5" borderId="1" pivotButton="0" quotePrefix="0" xfId="0"/>
    <xf numFmtId="49" fontId="5" fillId="5" borderId="1" pivotButton="0" quotePrefix="0" xfId="0"/>
    <xf numFmtId="165" fontId="5" fillId="5" borderId="1" pivotButton="0" quotePrefix="0" xfId="0"/>
    <xf numFmtId="2" fontId="5" fillId="5" borderId="1" pivotButton="0" quotePrefix="0" xfId="0"/>
    <xf numFmtId="166" fontId="5" fillId="5" borderId="1" pivotButton="0" quotePrefix="0" xfId="0"/>
    <xf numFmtId="9" fontId="5" fillId="5" borderId="1" pivotButton="0" quotePrefix="0" xfId="0"/>
    <xf numFmtId="164" fontId="5" fillId="0" borderId="1" pivotButton="0" quotePrefix="0" xfId="0"/>
    <xf numFmtId="164" fontId="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2" customWidth="1" min="1" max="1"/>
    <col width="12" customWidth="1" min="2" max="2"/>
    <col width="8" customWidth="1" min="3" max="3"/>
    <col width="90" customWidth="1" min="4" max="4"/>
  </cols>
  <sheetData>
    <row r="1">
      <c r="A1" s="1" t="inlineStr">
        <is>
          <t>Task 2 · Wheel layout calculator · INPUTS</t>
        </is>
      </c>
      <c r="B1" s="2" t="n"/>
      <c r="C1" s="2" t="n"/>
      <c r="D1" s="2" t="n"/>
    </row>
    <row r="2">
      <c r="A2" s="3" t="inlineStr">
        <is>
          <t>Edit only the BLUE values (yellow = key decisions). Coordinates use the SolidWorks frame of Assem_Base: X = width, Y = up, Z = length, mm. All results update automatically.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4" t="inlineStr">
        <is>
          <t>Parameter</t>
        </is>
      </c>
      <c r="B4" s="4" t="inlineStr">
        <is>
          <t>Value</t>
        </is>
      </c>
      <c r="C4" s="4" t="inlineStr">
        <is>
          <t>Unit</t>
        </is>
      </c>
      <c r="D4" s="4" t="inlineStr">
        <is>
          <t>Source / note</t>
        </is>
      </c>
    </row>
    <row r="5">
      <c r="A5" s="5" t="inlineStr">
        <is>
          <t>Frame (from CAD)</t>
        </is>
      </c>
      <c r="B5" s="6" t="n"/>
      <c r="C5" s="6" t="n"/>
      <c r="D5" s="6" t="n"/>
    </row>
    <row r="6">
      <c r="A6" s="7" t="inlineStr">
        <is>
          <t>Frame bottom face Y (caster mounting face, lower 400 mm cross members)</t>
        </is>
      </c>
      <c r="B6" s="8" t="n">
        <v>-140</v>
      </c>
      <c r="C6" s="7" t="inlineStr">
        <is>
          <t>mm</t>
        </is>
      </c>
      <c r="D6" s="9" t="inlineStr">
        <is>
          <t>Measured from Assem_Base.SLDASM (SolidWorks API, 2026-10-09)</t>
        </is>
      </c>
    </row>
    <row r="7">
      <c r="A7" s="7" t="inlineStr">
        <is>
          <t>Frame top face Y</t>
        </is>
      </c>
      <c r="B7" s="8" t="n">
        <v>0</v>
      </c>
      <c r="C7" s="7" t="inlineStr">
        <is>
          <t>mm</t>
        </is>
      </c>
      <c r="D7" s="9" t="inlineStr">
        <is>
          <t>Measured from Assem_Base.SLDASM (SolidWorks API, 2026-10-09)</t>
        </is>
      </c>
    </row>
    <row r="8">
      <c r="A8" s="7" t="inlineStr">
        <is>
          <t>Frame X min (cross-member end)</t>
        </is>
      </c>
      <c r="B8" s="8" t="n">
        <v>-47.5</v>
      </c>
      <c r="C8" s="7" t="inlineStr">
        <is>
          <t>mm</t>
        </is>
      </c>
      <c r="D8" s="9" t="inlineStr">
        <is>
          <t>Measured from Assem_Base.SLDASM (SolidWorks API, 2026-10-09)</t>
        </is>
      </c>
    </row>
    <row r="9">
      <c r="A9" s="7" t="inlineStr">
        <is>
          <t>Frame X max (cross-member end)</t>
        </is>
      </c>
      <c r="B9" s="8" t="n">
        <v>352.5</v>
      </c>
      <c r="C9" s="7" t="inlineStr">
        <is>
          <t>mm</t>
        </is>
      </c>
      <c r="D9" s="9" t="inlineStr">
        <is>
          <t>Measured from Assem_Base.SLDASM (SolidWorks API, 2026-10-09)</t>
        </is>
      </c>
    </row>
    <row r="10">
      <c r="A10" s="7" t="inlineStr">
        <is>
          <t>Lower cross member 1, centre line Z</t>
        </is>
      </c>
      <c r="B10" s="8" t="n">
        <v>20</v>
      </c>
      <c r="C10" s="7" t="inlineStr">
        <is>
          <t>mm</t>
        </is>
      </c>
      <c r="D10" s="9" t="inlineStr">
        <is>
          <t>Measured from Assem_Base.SLDASM (SolidWorks API, 2026-10-09)</t>
        </is>
      </c>
    </row>
    <row r="11">
      <c r="A11" s="7" t="inlineStr">
        <is>
          <t>Lower cross member 2, centre line Z</t>
        </is>
      </c>
      <c r="B11" s="8" t="n">
        <v>590</v>
      </c>
      <c r="C11" s="7" t="inlineStr">
        <is>
          <t>mm</t>
        </is>
      </c>
      <c r="D11" s="9" t="inlineStr">
        <is>
          <t>Measured from Assem_Base.SLDASM (SolidWorks API, 2026-10-09)</t>
        </is>
      </c>
    </row>
    <row r="12">
      <c r="A12" s="7" t="inlineStr">
        <is>
          <t>Robot centre X</t>
        </is>
      </c>
      <c r="B12" s="8" t="n">
        <v>152.5</v>
      </c>
      <c r="C12" s="7" t="inlineStr">
        <is>
          <t>mm</t>
        </is>
      </c>
      <c r="D12" s="9" t="inlineStr">
        <is>
          <t>Measured from Assem_Base.SLDASM (SolidWorks API, 2026-10-09) (frame symmetry)</t>
        </is>
      </c>
    </row>
    <row r="13">
      <c r="A13" s="7" t="inlineStr">
        <is>
          <t>Robot centre Z</t>
        </is>
      </c>
      <c r="B13" s="8" t="n">
        <v>305</v>
      </c>
      <c r="C13" s="7" t="inlineStr">
        <is>
          <t>mm</t>
        </is>
      </c>
      <c r="D13" s="9" t="inlineStr">
        <is>
          <t>Measured from Assem_Base.SLDASM (SolidWorks API, 2026-10-09) (frame symmetry)</t>
        </is>
      </c>
    </row>
    <row r="14">
      <c r="A14" s="7" t="inlineStr">
        <is>
          <t>Right side rail outer face X (left face mirrors about centre X)</t>
        </is>
      </c>
      <c r="B14" s="8" t="n">
        <v>305</v>
      </c>
      <c r="C14" s="7" t="inlineStr">
        <is>
          <t>mm</t>
        </is>
      </c>
      <c r="D14" s="9" t="inlineStr">
        <is>
          <t>Measured from Assem_Base.SLDASM (SolidWorks API, 2026-10-09)</t>
        </is>
      </c>
    </row>
    <row r="15">
      <c r="A15" s="7" t="inlineStr">
        <is>
          <t>Old ground level Y (mecanum D133)</t>
        </is>
      </c>
      <c r="B15" s="8" t="n">
        <v>-161.8</v>
      </c>
      <c r="C15" s="7" t="inlineStr">
        <is>
          <t>mm</t>
        </is>
      </c>
      <c r="D15" s="9" t="inlineStr">
        <is>
          <t>Measured from Assem_Base.SLDASM (SolidWorks API, 2026-10-09) (lowest roller point)</t>
        </is>
      </c>
    </row>
    <row r="16">
      <c r="A16" s="7" t="inlineStr">
        <is>
          <t>Lift table top Y (lowered)</t>
        </is>
      </c>
      <c r="B16" s="8" t="n">
        <v>3.35</v>
      </c>
      <c r="C16" s="7" t="inlineStr">
        <is>
          <t>mm</t>
        </is>
      </c>
      <c r="D16" s="9" t="inlineStr">
        <is>
          <t>Measured from Assem_Base.SLDASM (SolidWorks API, 2026-10-09)</t>
        </is>
      </c>
    </row>
    <row r="17">
      <c r="A17" s="7" t="inlineStr">
        <is>
          <t>LiDAR top Y</t>
        </is>
      </c>
      <c r="B17" s="8" t="n">
        <v>42.6</v>
      </c>
      <c r="C17" s="7" t="inlineStr">
        <is>
          <t>mm</t>
        </is>
      </c>
      <c r="D17" s="9" t="inlineStr">
        <is>
          <t>Measured from Assem_Base.SLDASM (SolidWorks API, 2026-10-09)</t>
        </is>
      </c>
    </row>
    <row r="18">
      <c r="A18" s="7" t="inlineStr">
        <is>
          <t>Furthest part along -Z (LiDAR housing)</t>
        </is>
      </c>
      <c r="B18" s="8" t="n">
        <v>-49.53</v>
      </c>
      <c r="C18" s="7" t="inlineStr">
        <is>
          <t>mm</t>
        </is>
      </c>
      <c r="D18" s="9" t="inlineStr">
        <is>
          <t>Measured from Assem_Base.SLDASM (SolidWorks API, 2026-10-09)</t>
        </is>
      </c>
    </row>
    <row r="19">
      <c r="A19" s="7" t="inlineStr">
        <is>
          <t>Furthest part along +Z (LiDAR housing)</t>
        </is>
      </c>
      <c r="B19" s="8" t="n">
        <v>664.53</v>
      </c>
      <c r="C19" s="7" t="inlineStr">
        <is>
          <t>mm</t>
        </is>
      </c>
      <c r="D19" s="9" t="inlineStr">
        <is>
          <t>Measured from Assem_Base.SLDASM (SolidWorks API, 2026-10-09)</t>
        </is>
      </c>
    </row>
    <row r="20">
      <c r="A20" s="5" t="inlineStr">
        <is>
          <t>Drive wheels (hoverboard hub motor)</t>
        </is>
      </c>
      <c r="B20" s="6" t="n"/>
      <c r="C20" s="6" t="n"/>
      <c r="D20" s="6" t="n"/>
    </row>
    <row r="21">
      <c r="A21" s="7" t="inlineStr">
        <is>
          <t>Drive wheel diameter</t>
        </is>
      </c>
      <c r="B21" s="10" t="n">
        <v>165</v>
      </c>
      <c r="C21" s="7" t="inlineStr">
        <is>
          <t>mm</t>
        </is>
      </c>
      <c r="D21" s="9" t="inlineStr">
        <is>
          <t>6.5 in hub motor = 165.1 mm nominal. MEASURE the purchased wheel and update.</t>
        </is>
      </c>
    </row>
    <row r="22">
      <c r="A22" s="7" t="inlineStr">
        <is>
          <t>Tyre width</t>
        </is>
      </c>
      <c r="B22" s="8" t="n">
        <v>55</v>
      </c>
      <c r="C22" s="7" t="inlineStr">
        <is>
          <t>mm</t>
        </is>
      </c>
      <c r="D22" s="9" t="inlineStr">
        <is>
          <t>Typical 6.5 in hub; measure.</t>
        </is>
      </c>
    </row>
    <row r="23">
      <c r="A23" s="7" t="inlineStr">
        <is>
          <t>Tyre deflection under load</t>
        </is>
      </c>
      <c r="B23" s="8" t="n">
        <v>1</v>
      </c>
      <c r="C23" s="7" t="inlineStr">
        <is>
          <t>mm</t>
        </is>
      </c>
      <c r="D23" s="9" t="inlineStr">
        <is>
          <t>Solid rubber tyre, estimate.</t>
        </is>
      </c>
    </row>
    <row r="24">
      <c r="A24" s="7" t="inlineStr">
        <is>
          <t>Track width (wheel centre to wheel centre)</t>
        </is>
      </c>
      <c r="B24" s="10" t="n">
        <v>480</v>
      </c>
      <c r="C24" s="7" t="inlineStr">
        <is>
          <t>mm</t>
        </is>
      </c>
      <c r="D24" s="9" t="inlineStr">
        <is>
          <t>Design choice: tyres outside the side rails, ~37 mm clear of the side panels.</t>
        </is>
      </c>
    </row>
    <row r="25">
      <c r="A25" s="7" t="inlineStr">
        <is>
          <t>Drive axle Z</t>
        </is>
      </c>
      <c r="B25" s="7">
        <f>B13</f>
        <v/>
      </c>
      <c r="C25" s="7" t="inlineStr">
        <is>
          <t>mm</t>
        </is>
      </c>
      <c r="D25" s="9" t="inlineStr">
        <is>
          <t>At mid-length so the robot turns about its own centre.</t>
        </is>
      </c>
    </row>
    <row r="26">
      <c r="A26" s="5" t="inlineStr">
        <is>
          <t>Casters</t>
        </is>
      </c>
      <c r="B26" s="6" t="n"/>
      <c r="C26" s="6" t="n"/>
      <c r="D26" s="6" t="n"/>
    </row>
    <row r="27">
      <c r="A27" s="7" t="inlineStr">
        <is>
          <t>Caster wheel diameter</t>
        </is>
      </c>
      <c r="B27" s="8" t="n">
        <v>50</v>
      </c>
      <c r="C27" s="7" t="inlineStr">
        <is>
          <t>mm</t>
        </is>
      </c>
      <c r="D27" s="9" t="inlineStr">
        <is>
          <t>2 in swivel caster.</t>
        </is>
      </c>
    </row>
    <row r="28">
      <c r="A28" s="7" t="inlineStr">
        <is>
          <t>Installed caster height (cross-member face to floor)</t>
        </is>
      </c>
      <c r="B28" s="10" t="n">
        <v>75</v>
      </c>
      <c r="C28" s="7" t="inlineStr">
        <is>
          <t>mm</t>
        </is>
      </c>
      <c r="D28" s="9" t="inlineStr">
        <is>
          <t>Design value: every 2 in caster (64-73 mm) fits with a spacer plate.</t>
        </is>
      </c>
    </row>
    <row r="29">
      <c r="A29" s="7" t="inlineStr">
        <is>
          <t>Caster swivel lead (axis to wheel axle)</t>
        </is>
      </c>
      <c r="B29" s="8" t="n">
        <v>35</v>
      </c>
      <c r="C29" s="7" t="inlineStr">
        <is>
          <t>mm</t>
        </is>
      </c>
      <c r="D29" s="9" t="inlineStr">
        <is>
          <t>Typical 2 in caster; check datasheet.</t>
        </is>
      </c>
    </row>
    <row r="30">
      <c r="A30" s="7" t="inlineStr">
        <is>
          <t>Caster axis inset from cross-member ends</t>
        </is>
      </c>
      <c r="B30" s="8" t="n">
        <v>30</v>
      </c>
      <c r="C30" s="7" t="inlineStr">
        <is>
          <t>mm</t>
        </is>
      </c>
      <c r="D30" s="9" t="inlineStr">
        <is>
          <t>Leaves room for a 60 x 60 mm adapter plate.</t>
        </is>
      </c>
    </row>
    <row r="31">
      <c r="A31" s="7" t="inlineStr">
        <is>
          <t>Selected caster: total height (datasheet)</t>
        </is>
      </c>
      <c r="B31" s="8" t="n">
        <v>73</v>
      </c>
      <c r="C31" s="7" t="inlineStr">
        <is>
          <t>mm</t>
        </is>
      </c>
      <c r="D31" s="9" t="inlineStr">
        <is>
          <t>Example: Richelieu 50 mm twin nylon w/ brake (73 mm, 60 kg).</t>
        </is>
      </c>
    </row>
    <row r="32">
      <c r="A32" s="7" t="inlineStr">
        <is>
          <t>Selected caster: load rating per caster</t>
        </is>
      </c>
      <c r="B32" s="8" t="n">
        <v>60</v>
      </c>
      <c r="C32" s="7" t="inlineStr">
        <is>
          <t>kg</t>
        </is>
      </c>
      <c r="D32" s="9" t="inlineStr">
        <is>
          <t>From the same datasheet.</t>
        </is>
      </c>
    </row>
    <row r="33">
      <c r="A33" s="5" t="inlineStr">
        <is>
          <t>Masses and motion</t>
        </is>
      </c>
      <c r="B33" s="6" t="n"/>
      <c r="C33" s="6" t="n"/>
      <c r="D33" s="6" t="n"/>
    </row>
    <row r="34">
      <c r="A34" s="7" t="inlineStr">
        <is>
          <t>Robot mass, empty</t>
        </is>
      </c>
      <c r="B34" s="11">
        <f>'Mass budget'!C14</f>
        <v/>
      </c>
      <c r="C34" s="7" t="inlineStr">
        <is>
          <t>kg</t>
        </is>
      </c>
      <c r="D34" s="9" t="inlineStr">
        <is>
          <t>Linked to the Mass budget sheet.</t>
        </is>
      </c>
    </row>
    <row r="35">
      <c r="A35" s="7" t="inlineStr">
        <is>
          <t>Design payload</t>
        </is>
      </c>
      <c r="B35" s="10" t="n">
        <v>100</v>
      </c>
      <c r="C35" s="7" t="inlineStr">
        <is>
          <t>kg</t>
        </is>
      </c>
      <c r="D35" s="9" t="inlineStr">
        <is>
          <t>GP1 sizing basis (Graduation 1 report).</t>
        </is>
      </c>
    </row>
    <row r="36">
      <c r="A36" s="7" t="inlineStr">
        <is>
          <t>CG height above floor, empty</t>
        </is>
      </c>
      <c r="B36" s="8" t="n">
        <v>0.15</v>
      </c>
      <c r="C36" s="7" t="inlineStr">
        <is>
          <t>m</t>
        </is>
      </c>
      <c r="D36" s="9" t="inlineStr">
        <is>
          <t>Estimate.</t>
        </is>
      </c>
    </row>
    <row r="37">
      <c r="A37" s="7" t="inlineStr">
        <is>
          <t>CG height above floor, loaded and lift raised</t>
        </is>
      </c>
      <c r="B37" s="8" t="n">
        <v>0.5</v>
      </c>
      <c r="C37" s="7" t="inlineStr">
        <is>
          <t>m</t>
        </is>
      </c>
      <c r="D37" s="9" t="inlineStr">
        <is>
          <t>Conservative estimate (rack on top).</t>
        </is>
      </c>
    </row>
    <row r="38">
      <c r="A38" s="7" t="inlineStr">
        <is>
          <t>Possible payload CG offset from centre</t>
        </is>
      </c>
      <c r="B38" s="8" t="n">
        <v>0.05</v>
      </c>
      <c r="C38" s="7" t="inlineStr">
        <is>
          <t>m</t>
        </is>
      </c>
      <c r="D38" s="9" t="inlineStr">
        <is>
          <t>Rack not perfectly centred.</t>
        </is>
      </c>
    </row>
    <row r="39">
      <c r="A39" s="7" t="inlineStr">
        <is>
          <t>Target acceleration, loaded</t>
        </is>
      </c>
      <c r="B39" s="8" t="n">
        <v>0.5</v>
      </c>
      <c r="C39" s="7" t="inlineStr">
        <is>
          <t>m/s2</t>
        </is>
      </c>
      <c r="D39" s="9" t="inlineStr">
        <is>
          <t>Typical warehouse AMR.</t>
        </is>
      </c>
    </row>
    <row r="40">
      <c r="A40" s="7" t="inlineStr">
        <is>
          <t>Floor slope / ramp</t>
        </is>
      </c>
      <c r="B40" s="8" t="n">
        <v>2</v>
      </c>
      <c r="C40" s="7" t="inlineStr">
        <is>
          <t>deg</t>
        </is>
      </c>
      <c r="D40" s="9" t="inlineStr">
        <is>
          <t>Check case.</t>
        </is>
      </c>
    </row>
    <row r="41">
      <c r="A41" s="7" t="inlineStr">
        <is>
          <t>Rolling resistance coefficient</t>
        </is>
      </c>
      <c r="B41" s="8" t="n">
        <v>0.015</v>
      </c>
      <c r="C41" s="7" t="inlineStr">
        <is>
          <t>-</t>
        </is>
      </c>
      <c r="D41" s="9" t="inlineStr">
        <is>
          <t>Hard tyres on concrete/epoxy.</t>
        </is>
      </c>
    </row>
    <row r="42">
      <c r="A42" s="7" t="inlineStr">
        <is>
          <t>Tyre-floor friction, nominal</t>
        </is>
      </c>
      <c r="B42" s="8" t="n">
        <v>0.5</v>
      </c>
      <c r="C42" s="7" t="inlineStr">
        <is>
          <t>-</t>
        </is>
      </c>
      <c r="D42" s="9" t="inlineStr">
        <is>
          <t>Solid rubber on smooth floor.</t>
        </is>
      </c>
    </row>
    <row r="43">
      <c r="A43" s="7" t="inlineStr">
        <is>
          <t>Tyre-floor friction, worst</t>
        </is>
      </c>
      <c r="B43" s="8" t="n">
        <v>0.4</v>
      </c>
      <c r="C43" s="7" t="inlineStr">
        <is>
          <t>-</t>
        </is>
      </c>
      <c r="D43" s="9" t="inlineStr">
        <is>
          <t>Dusty / polished floor.</t>
        </is>
      </c>
    </row>
    <row r="44">
      <c r="A44" s="7" t="inlineStr">
        <is>
          <t>Gravity</t>
        </is>
      </c>
      <c r="B44" s="8" t="n">
        <v>9.81</v>
      </c>
      <c r="C44" s="7" t="inlineStr">
        <is>
          <t>m/s2</t>
        </is>
      </c>
      <c r="D44" s="9" t="inlineStr">
        <is>
          <t>Constant.</t>
        </is>
      </c>
    </row>
    <row r="45">
      <c r="A45" s="5" t="inlineStr">
        <is>
          <t>Suspension (drive wheels)</t>
        </is>
      </c>
      <c r="B45" s="6" t="n"/>
      <c r="C45" s="6" t="n"/>
      <c r="D45" s="6" t="n"/>
    </row>
    <row r="46">
      <c r="A46" s="7" t="inlineStr">
        <is>
          <t>Spring force pressing EACH drive wheel on the floor</t>
        </is>
      </c>
      <c r="B46" s="10" t="n">
        <v>100</v>
      </c>
      <c r="C46" s="7" t="inlineStr">
        <is>
          <t>N</t>
        </is>
      </c>
      <c r="D46" s="9" t="inlineStr">
        <is>
          <t>Key design value: must stay below ~70% of the empty weight / 2.</t>
        </is>
      </c>
    </row>
    <row r="47">
      <c r="A47" s="7" t="inlineStr">
        <is>
          <t>Vertical variation to absorb (floor + build), +/-</t>
        </is>
      </c>
      <c r="B47" s="8" t="n">
        <v>5</v>
      </c>
      <c r="C47" s="7" t="inlineStr">
        <is>
          <t>mm</t>
        </is>
      </c>
      <c r="D47" s="9" t="inlineStr">
        <is>
          <t>Assumption.</t>
        </is>
      </c>
    </row>
    <row r="48">
      <c r="A48" s="7" t="inlineStr">
        <is>
          <t>Allowed +/- change of wheel force over that travel</t>
        </is>
      </c>
      <c r="B48" s="8" t="n">
        <v>0.25</v>
      </c>
      <c r="C48" s="7" t="inlineStr">
        <is>
          <t>-</t>
        </is>
      </c>
      <c r="D48" s="9" t="inlineStr">
        <is>
          <t>25%.</t>
        </is>
      </c>
    </row>
    <row r="49">
      <c r="A49" s="7" t="inlineStr">
        <is>
          <t>Suspension lever ratio i = spring travel / wheel travel</t>
        </is>
      </c>
      <c r="B49" s="8" t="n">
        <v>1</v>
      </c>
      <c r="C49" s="7" t="inlineStr">
        <is>
          <t>-</t>
        </is>
      </c>
      <c r="D49" s="9" t="inlineStr">
        <is>
          <t>1 for a vertical slide; arm length ratio for a swing arm.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60" customWidth="1" min="1" max="1"/>
    <col width="6" customWidth="1" min="2" max="2"/>
    <col width="16" customWidth="1" min="3" max="3"/>
    <col width="15" customWidth="1" min="4" max="4"/>
    <col width="70" customWidth="1" min="5" max="5"/>
  </cols>
  <sheetData>
    <row r="1">
      <c r="A1" s="1" t="inlineStr">
        <is>
          <t>Mass budget (empty robot)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4" t="inlineStr">
        <is>
          <t>Item</t>
        </is>
      </c>
      <c r="B3" s="4" t="inlineStr">
        <is>
          <t>Qty</t>
        </is>
      </c>
      <c r="C3" s="4" t="inlineStr">
        <is>
          <t>Mass total (kg)</t>
        </is>
      </c>
      <c r="D3" s="4" t="inlineStr">
        <is>
          <t>Unit mass (kg)</t>
        </is>
      </c>
      <c r="E3" s="4" t="inlineStr">
        <is>
          <t>Source / note</t>
        </is>
      </c>
    </row>
    <row r="4">
      <c r="A4" s="7" t="inlineStr">
        <is>
          <t>Frame, lift and sensors (current CAD total)</t>
        </is>
      </c>
      <c r="B4" s="8" t="n">
        <v>1</v>
      </c>
      <c r="C4" s="12">
        <f>B4*D4</f>
        <v/>
      </c>
      <c r="D4" s="8" t="n">
        <v>8.75</v>
      </c>
      <c r="E4" s="9" t="inlineStr">
        <is>
          <t>SolidWorks mass of Assem_Base INCLUDING the old mecanum wheels and brackets (to be removed) -&gt; conservative. Check every part has a material assigned.</t>
        </is>
      </c>
    </row>
    <row r="5">
      <c r="A5" s="7" t="inlineStr">
        <is>
          <t>Hoverboard hub motor 6.5 in with tyre</t>
        </is>
      </c>
      <c r="B5" s="8" t="n">
        <v>2</v>
      </c>
      <c r="C5" s="12">
        <f>B5*D5</f>
        <v/>
      </c>
      <c r="D5" s="8" t="n">
        <v>3.1</v>
      </c>
      <c r="E5" s="9" t="inlineStr">
        <is>
          <t>Parallax 6.5 in hub motor listing: 3.1 kg each.</t>
        </is>
      </c>
    </row>
    <row r="6">
      <c r="A6" s="7" t="inlineStr">
        <is>
          <t>Swivel caster 2 in + adapter plate</t>
        </is>
      </c>
      <c r="B6" s="8" t="n">
        <v>4</v>
      </c>
      <c r="C6" s="12">
        <f>B6*D6</f>
        <v/>
      </c>
      <c r="D6" s="8" t="n">
        <v>0.35</v>
      </c>
      <c r="E6" s="9" t="inlineStr">
        <is>
          <t>Estimate.</t>
        </is>
      </c>
    </row>
    <row r="7">
      <c r="A7" s="7" t="inlineStr">
        <is>
          <t>Drive suspension module (bracket, arm, spring)</t>
        </is>
      </c>
      <c r="B7" s="8" t="n">
        <v>2</v>
      </c>
      <c r="C7" s="12">
        <f>B7*D7</f>
        <v/>
      </c>
      <c r="D7" s="8" t="n">
        <v>1</v>
      </c>
      <c r="E7" s="9" t="inlineStr">
        <is>
          <t>Estimate.</t>
        </is>
      </c>
    </row>
    <row r="8">
      <c r="A8" s="7" t="inlineStr">
        <is>
          <t>Battery 36 V ~10 Ah Li-ion</t>
        </is>
      </c>
      <c r="B8" s="8" t="n">
        <v>1</v>
      </c>
      <c r="C8" s="12">
        <f>B8*D8</f>
        <v/>
      </c>
      <c r="D8" s="8" t="n">
        <v>3</v>
      </c>
      <c r="E8" s="9" t="inlineStr">
        <is>
          <t>Estimate.</t>
        </is>
      </c>
    </row>
    <row r="9">
      <c r="A9" s="7" t="inlineStr">
        <is>
          <t>Electronics (controllers, drivers, ESP32/PC, wiring)</t>
        </is>
      </c>
      <c r="B9" s="8" t="n">
        <v>1</v>
      </c>
      <c r="C9" s="12">
        <f>B9*D9</f>
        <v/>
      </c>
      <c r="D9" s="8" t="n">
        <v>2.5</v>
      </c>
      <c r="E9" s="9" t="inlineStr">
        <is>
          <t>Estimate.</t>
        </is>
      </c>
    </row>
    <row r="10">
      <c r="A10" s="7" t="inlineStr">
        <is>
          <t>Aluminium sheet cover (1.5 mm)</t>
        </is>
      </c>
      <c r="B10" s="8" t="n">
        <v>1</v>
      </c>
      <c r="C10" s="12">
        <f>B10*D10</f>
        <v/>
      </c>
      <c r="D10" s="8" t="n">
        <v>2.6</v>
      </c>
      <c r="E10" s="9" t="inlineStr">
        <is>
          <t>~0.65 m2 x 1.5 mm x 2700 kg/m3.</t>
        </is>
      </c>
    </row>
    <row r="11">
      <c r="A11" s="7" t="inlineStr">
        <is>
          <t>Fasteners, brackets, misc.</t>
        </is>
      </c>
      <c r="B11" s="8" t="n">
        <v>1</v>
      </c>
      <c r="C11" s="12">
        <f>B11*D11</f>
        <v/>
      </c>
      <c r="D11" s="8" t="n">
        <v>1</v>
      </c>
      <c r="E11" s="9" t="inlineStr">
        <is>
          <t>Estimate.</t>
        </is>
      </c>
    </row>
    <row r="12">
      <c r="A12" s="13" t="inlineStr">
        <is>
          <t>Subtotal</t>
        </is>
      </c>
      <c r="B12" s="2" t="n"/>
      <c r="C12" s="14">
        <f>SUM(C4:C11)</f>
        <v/>
      </c>
      <c r="D12" s="2" t="n"/>
      <c r="E12" s="2" t="n"/>
    </row>
    <row r="13">
      <c r="A13" s="13" t="inlineStr">
        <is>
          <t>Design margin (10%)</t>
        </is>
      </c>
      <c r="B13" s="2" t="n"/>
      <c r="C13" s="14">
        <f>0.1*C12</f>
        <v/>
      </c>
      <c r="D13" s="2" t="n"/>
      <c r="E13" s="2" t="n"/>
    </row>
    <row r="14">
      <c r="A14" s="13" t="inlineStr">
        <is>
          <t>Empty robot mass used in calculations</t>
        </is>
      </c>
      <c r="B14" s="2" t="n"/>
      <c r="C14" s="15">
        <f>C12+C13</f>
        <v/>
      </c>
      <c r="D14" s="2" t="n"/>
      <c r="E14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6" customWidth="1" min="1" max="1"/>
    <col width="16" customWidth="1" min="2" max="2"/>
    <col width="8" customWidth="1" min="3" max="3"/>
    <col width="62" customWidth="1" min="4" max="4"/>
  </cols>
  <sheetData>
    <row r="1">
      <c r="A1" s="1" t="inlineStr">
        <is>
          <t>Task 2 · RESULTS (formulas, do not edit)</t>
        </is>
      </c>
      <c r="B1" s="2" t="n"/>
      <c r="C1" s="2" t="n"/>
      <c r="D1" s="2" t="n"/>
    </row>
    <row r="2">
      <c r="A2" s="2" t="n"/>
      <c r="B2" s="2" t="n"/>
      <c r="C2" s="2" t="n"/>
      <c r="D2" s="2" t="n"/>
    </row>
    <row r="3">
      <c r="A3" s="4" t="inlineStr">
        <is>
          <t>Result</t>
        </is>
      </c>
      <c r="B3" s="4" t="inlineStr">
        <is>
          <t>Value</t>
        </is>
      </c>
      <c r="C3" s="4" t="inlineStr">
        <is>
          <t>Unit</t>
        </is>
      </c>
      <c r="D3" s="4" t="inlineStr">
        <is>
          <t>How it is calculated / check</t>
        </is>
      </c>
    </row>
    <row r="4">
      <c r="A4" s="5" t="inlineStr">
        <is>
          <t>1. Vertical alignment: the casters define the floor plane</t>
        </is>
      </c>
      <c r="B4" s="6" t="n"/>
      <c r="C4" s="6" t="n"/>
      <c r="D4" s="6" t="n"/>
    </row>
    <row r="5">
      <c r="A5" s="7" t="inlineStr">
        <is>
          <t>Floor level Y</t>
        </is>
      </c>
      <c r="B5" s="16">
        <f>Inputs!$B$6-Inputs!$B$28</f>
        <v/>
      </c>
      <c r="C5" s="7" t="inlineStr">
        <is>
          <t>mm</t>
        </is>
      </c>
      <c r="D5" s="9" t="inlineStr">
        <is>
          <t>Frame bottom face - installed caster height</t>
        </is>
      </c>
    </row>
    <row r="6">
      <c r="A6" s="7" t="inlineStr">
        <is>
          <t>Drive wheel loaded radius</t>
        </is>
      </c>
      <c r="B6" s="16">
        <f>Inputs!$B$21/2-Inputs!$B$23</f>
        <v/>
      </c>
      <c r="C6" s="7" t="inlineStr">
        <is>
          <t>mm</t>
        </is>
      </c>
      <c r="D6" s="9" t="inlineStr">
        <is>
          <t>D/2 - tyre deflection</t>
        </is>
      </c>
    </row>
    <row r="7">
      <c r="A7" s="7" t="inlineStr">
        <is>
          <t>Drive axle Y (suspension at mid-travel)</t>
        </is>
      </c>
      <c r="B7" s="16">
        <f>$B$5+$B$6</f>
        <v/>
      </c>
      <c r="C7" s="7" t="inlineStr">
        <is>
          <t>mm</t>
        </is>
      </c>
      <c r="D7" s="9" t="inlineStr">
        <is>
          <t>Floor + loaded radius: put the axle here in CAD</t>
        </is>
      </c>
    </row>
    <row r="8">
      <c r="A8" s="7" t="inlineStr">
        <is>
          <t>Drive wheel top Y</t>
        </is>
      </c>
      <c r="B8" s="16">
        <f>$B$5+Inputs!$B$21</f>
        <v/>
      </c>
      <c r="C8" s="7" t="inlineStr">
        <is>
          <t>mm</t>
        </is>
      </c>
      <c r="D8" s="9" t="inlineStr">
        <is>
          <t>For the cover wheel wells</t>
        </is>
      </c>
    </row>
    <row r="9">
      <c r="A9" s="7" t="inlineStr">
        <is>
          <t>Ground clearance under the frame</t>
        </is>
      </c>
      <c r="B9" s="16">
        <f>Inputs!$B$6-$B$5</f>
        <v/>
      </c>
      <c r="C9" s="7" t="inlineStr">
        <is>
          <t>mm</t>
        </is>
      </c>
      <c r="D9" s="9" t="inlineStr">
        <is>
          <t>Equal to the installed caster height</t>
        </is>
      </c>
    </row>
    <row r="10">
      <c r="A10" s="7" t="inlineStr">
        <is>
          <t>Robot gets higher than the old robot by</t>
        </is>
      </c>
      <c r="B10" s="16">
        <f>Inputs!$B$15-$B$5</f>
        <v/>
      </c>
      <c r="C10" s="7" t="inlineStr">
        <is>
          <t>mm</t>
        </is>
      </c>
      <c r="D10" s="9" t="inlineStr">
        <is>
          <t>Check rack/shelf clearance in the warehouse</t>
        </is>
      </c>
    </row>
    <row r="11">
      <c r="A11" s="7" t="inlineStr">
        <is>
          <t>Lift table top above floor (lowered)</t>
        </is>
      </c>
      <c r="B11" s="16">
        <f>Inputs!$B$16-$B$5</f>
        <v/>
      </c>
      <c r="C11" s="7" t="inlineStr">
        <is>
          <t>mm</t>
        </is>
      </c>
      <c r="D11" s="9" t="inlineStr"/>
    </row>
    <row r="12">
      <c r="A12" s="7" t="inlineStr">
        <is>
          <t>LiDAR top above floor</t>
        </is>
      </c>
      <c r="B12" s="16">
        <f>Inputs!$B$17-$B$5</f>
        <v/>
      </c>
      <c r="C12" s="7" t="inlineStr">
        <is>
          <t>mm</t>
        </is>
      </c>
      <c r="D12" s="9" t="inlineStr"/>
    </row>
    <row r="13">
      <c r="A13" s="7" t="inlineStr">
        <is>
          <t>Spacer plate for the selected caster</t>
        </is>
      </c>
      <c r="B13" s="16">
        <f>Inputs!$B$28-Inputs!$B$31</f>
        <v/>
      </c>
      <c r="C13" s="7" t="inlineStr">
        <is>
          <t>mm</t>
        </is>
      </c>
      <c r="D13" s="9" t="inlineStr">
        <is>
          <t>Caster plate + spacer must equal the installed height</t>
        </is>
      </c>
    </row>
    <row r="14">
      <c r="A14" s="7" t="inlineStr">
        <is>
          <t>Selected caster fits?</t>
        </is>
      </c>
      <c r="B14" s="17">
        <f>IF($B$13&lt;0,"NO: caster too tall, raise the installed height","OK")</f>
        <v/>
      </c>
      <c r="C14" s="7" t="inlineStr"/>
      <c r="D14" s="9" t="inlineStr"/>
    </row>
    <row r="15">
      <c r="A15" s="5" t="inlineStr">
        <is>
          <t>2. Plan positions (X = width, Z = length)</t>
        </is>
      </c>
      <c r="B15" s="6" t="n"/>
      <c r="C15" s="6" t="n"/>
      <c r="D15" s="6" t="n"/>
    </row>
    <row r="16">
      <c r="A16" s="7" t="inlineStr">
        <is>
          <t>Left drive wheel centre X</t>
        </is>
      </c>
      <c r="B16" s="16">
        <f>Inputs!$B$12-Inputs!$B$24/2</f>
        <v/>
      </c>
      <c r="C16" s="7" t="inlineStr">
        <is>
          <t>mm</t>
        </is>
      </c>
      <c r="D16" s="9" t="inlineStr"/>
    </row>
    <row r="17">
      <c r="A17" s="7" t="inlineStr">
        <is>
          <t>Right drive wheel centre X</t>
        </is>
      </c>
      <c r="B17" s="16">
        <f>Inputs!$B$12+Inputs!$B$24/2</f>
        <v/>
      </c>
      <c r="C17" s="7" t="inlineStr">
        <is>
          <t>mm</t>
        </is>
      </c>
      <c r="D17" s="9" t="inlineStr"/>
    </row>
    <row r="18">
      <c r="A18" s="7" t="inlineStr">
        <is>
          <t>Drive wheels Z</t>
        </is>
      </c>
      <c r="B18" s="16">
        <f>Inputs!$B$25</f>
        <v/>
      </c>
      <c r="C18" s="7" t="inlineStr">
        <is>
          <t>mm</t>
        </is>
      </c>
      <c r="D18" s="9" t="inlineStr"/>
    </row>
    <row r="19">
      <c r="A19" s="7" t="inlineStr">
        <is>
          <t>Left casters X (swivel axis)</t>
        </is>
      </c>
      <c r="B19" s="16">
        <f>Inputs!$B$8+Inputs!$B$30</f>
        <v/>
      </c>
      <c r="C19" s="7" t="inlineStr">
        <is>
          <t>mm</t>
        </is>
      </c>
      <c r="D19" s="9" t="inlineStr"/>
    </row>
    <row r="20">
      <c r="A20" s="7" t="inlineStr">
        <is>
          <t>Right casters X (swivel axis)</t>
        </is>
      </c>
      <c r="B20" s="16">
        <f>Inputs!$B$9-Inputs!$B$30</f>
        <v/>
      </c>
      <c r="C20" s="7" t="inlineStr">
        <is>
          <t>mm</t>
        </is>
      </c>
      <c r="D20" s="9" t="inlineStr"/>
    </row>
    <row r="21">
      <c r="A21" s="7" t="inlineStr">
        <is>
          <t>Caster track (X spacing)</t>
        </is>
      </c>
      <c r="B21" s="16">
        <f>$B$20-$B$19</f>
        <v/>
      </c>
      <c r="C21" s="7" t="inlineStr">
        <is>
          <t>mm</t>
        </is>
      </c>
      <c r="D21" s="9" t="inlineStr"/>
    </row>
    <row r="22">
      <c r="A22" s="7" t="inlineStr">
        <is>
          <t>Caster wheelbase (Z spacing)</t>
        </is>
      </c>
      <c r="B22" s="16">
        <f>Inputs!$B$11-Inputs!$B$10</f>
        <v/>
      </c>
      <c r="C22" s="7" t="inlineStr">
        <is>
          <t>mm</t>
        </is>
      </c>
      <c r="D22" s="9" t="inlineStr"/>
    </row>
    <row r="23">
      <c r="A23" s="7" t="inlineStr">
        <is>
          <t>Overall width over the tyres</t>
        </is>
      </c>
      <c r="B23" s="16">
        <f>Inputs!$B$24+Inputs!$B$22</f>
        <v/>
      </c>
      <c r="C23" s="7" t="inlineStr">
        <is>
          <t>mm</t>
        </is>
      </c>
      <c r="D23" s="9" t="inlineStr">
        <is>
          <t>Old robot (mecanum): 650 mm</t>
        </is>
      </c>
    </row>
    <row r="24">
      <c r="A24" s="7" t="inlineStr">
        <is>
          <t>Gap: inner tyre face to side-rail outer face</t>
        </is>
      </c>
      <c r="B24" s="16">
        <f>$B$17-Inputs!$B$22/2-Inputs!$B$14</f>
        <v/>
      </c>
      <c r="C24" s="7" t="inlineStr">
        <is>
          <t>mm</t>
        </is>
      </c>
      <c r="D24" s="9" t="inlineStr">
        <is>
          <t>Room for the axle clamp + suspension</t>
        </is>
      </c>
    </row>
    <row r="25">
      <c r="A25" s="7" t="inlineStr">
        <is>
          <t>Caster swivel envelope radius</t>
        </is>
      </c>
      <c r="B25" s="16">
        <f>Inputs!$B$29+Inputs!$B$27/2</f>
        <v/>
      </c>
      <c r="C25" s="7" t="inlineStr">
        <is>
          <t>mm</t>
        </is>
      </c>
      <c r="D25" s="9" t="inlineStr">
        <is>
          <t>Keep this circle free (cover skirt, brackets)</t>
        </is>
      </c>
    </row>
    <row r="26">
      <c r="A26" s="7" t="inlineStr">
        <is>
          <t>In-place rotation radius (incl. LiDAR housings)</t>
        </is>
      </c>
      <c r="B26" s="16">
        <f>SQRT(MAX(Inputs!$B$12-Inputs!$B$8,Inputs!$B$9-Inputs!$B$12)^2+MAX(Inputs!$B$13-Inputs!$B$18,Inputs!$B$19-Inputs!$B$13)^2)</f>
        <v/>
      </c>
      <c r="C26" s="7" t="inlineStr">
        <is>
          <t>mm</t>
        </is>
      </c>
      <c r="D26" s="9" t="inlineStr">
        <is>
          <t>Robot turns about its centre</t>
        </is>
      </c>
    </row>
    <row r="27">
      <c r="A27" s="5" t="inlineStr">
        <is>
          <t>3. Stability (worst case: casters swivelled inward by the lead)</t>
        </is>
      </c>
      <c r="B27" s="6" t="n"/>
      <c r="C27" s="6" t="n"/>
      <c r="D27" s="6" t="n"/>
    </row>
    <row r="28">
      <c r="A28" s="7" t="inlineStr">
        <is>
          <t>Edge point A x: left caster inner contact</t>
        </is>
      </c>
      <c r="B28" s="16">
        <f>$B$19+Inputs!$B$29</f>
        <v/>
      </c>
      <c r="C28" s="7" t="inlineStr">
        <is>
          <t>mm</t>
        </is>
      </c>
      <c r="D28" s="9" t="inlineStr"/>
    </row>
    <row r="29">
      <c r="A29" s="7" t="inlineStr">
        <is>
          <t>Edge point A z</t>
        </is>
      </c>
      <c r="B29" s="16">
        <f>Inputs!$B$10+Inputs!$B$29</f>
        <v/>
      </c>
      <c r="C29" s="7" t="inlineStr">
        <is>
          <t>mm</t>
        </is>
      </c>
      <c r="D29" s="9" t="inlineStr"/>
    </row>
    <row r="30">
      <c r="A30" s="7" t="inlineStr">
        <is>
          <t>Edge point B x: left drive wheel contact</t>
        </is>
      </c>
      <c r="B30" s="16">
        <f>$B$16</f>
        <v/>
      </c>
      <c r="C30" s="7" t="inlineStr">
        <is>
          <t>mm</t>
        </is>
      </c>
      <c r="D30" s="9" t="inlineStr"/>
    </row>
    <row r="31">
      <c r="A31" s="7" t="inlineStr">
        <is>
          <t>Edge point B z</t>
        </is>
      </c>
      <c r="B31" s="16">
        <f>Inputs!$B$25</f>
        <v/>
      </c>
      <c r="C31" s="7" t="inlineStr">
        <is>
          <t>mm</t>
        </is>
      </c>
      <c r="D31" s="9" t="inlineStr"/>
    </row>
    <row r="32">
      <c r="A32" s="7" t="inlineStr">
        <is>
          <t>Margin to the side edge (caster to drive wheel)</t>
        </is>
      </c>
      <c r="B32" s="18">
        <f>ABS(($B$31-$B$29)*Inputs!$B$12-($B$30-$B$28)*Inputs!$B$13+$B$30*$B$29-$B$31*$B$28)/SQRT(($B$31-$B$29)^2+($B$30-$B$28)^2)/1000</f>
        <v/>
      </c>
      <c r="C32" s="7" t="inlineStr">
        <is>
          <t>m</t>
        </is>
      </c>
      <c r="D32" s="9" t="inlineStr">
        <is>
          <t>Distance from the centre to that support-polygon edge</t>
        </is>
      </c>
    </row>
    <row r="33">
      <c r="A33" s="7" t="inlineStr">
        <is>
          <t>Margin to the end edge (between two casters)</t>
        </is>
      </c>
      <c r="B33" s="18">
        <f>MIN(Inputs!$B$13-(Inputs!$B$10+Inputs!$B$29),(Inputs!$B$11-Inputs!$B$29)-Inputs!$B$13)/1000</f>
        <v/>
      </c>
      <c r="C33" s="7" t="inlineStr">
        <is>
          <t>m</t>
        </is>
      </c>
      <c r="D33" s="9" t="inlineStr"/>
    </row>
    <row r="34">
      <c r="A34" s="7" t="inlineStr">
        <is>
          <t>Smallest stability margin</t>
        </is>
      </c>
      <c r="B34" s="18">
        <f>MIN($B$32,$B$33)</f>
        <v/>
      </c>
      <c r="C34" s="7" t="inlineStr">
        <is>
          <t>m</t>
        </is>
      </c>
      <c r="D34" s="9" t="inlineStr"/>
    </row>
    <row r="35">
      <c r="A35" s="7" t="inlineStr">
        <is>
          <t>Tip-over acceleration limit, loaded</t>
        </is>
      </c>
      <c r="B35" s="19">
        <f>Inputs!$B$44*($B$34-Inputs!$B$38)/Inputs!$B$37</f>
        <v/>
      </c>
      <c r="C35" s="7" t="inlineStr">
        <is>
          <t>m/s2</t>
        </is>
      </c>
      <c r="D35" s="9" t="inlineStr">
        <is>
          <t>Must be well above the acceleration you use</t>
        </is>
      </c>
    </row>
    <row r="36">
      <c r="A36" s="7" t="inlineStr">
        <is>
          <t>Tip-over acceleration limit, empty</t>
        </is>
      </c>
      <c r="B36" s="19">
        <f>Inputs!$B$44*$B$34/Inputs!$B$36</f>
        <v/>
      </c>
      <c r="C36" s="7" t="inlineStr">
        <is>
          <t>m/s2</t>
        </is>
      </c>
      <c r="D36" s="9" t="inlineStr"/>
    </row>
    <row r="37">
      <c r="A37" s="5" t="inlineStr">
        <is>
          <t>4. Drive force, torque and traction</t>
        </is>
      </c>
      <c r="B37" s="6" t="n"/>
      <c r="C37" s="6" t="n"/>
      <c r="D37" s="6" t="n"/>
    </row>
    <row r="38">
      <c r="A38" s="7" t="inlineStr">
        <is>
          <t>Loaded mass</t>
        </is>
      </c>
      <c r="B38" s="16">
        <f>Inputs!$B$34+Inputs!$B$35</f>
        <v/>
      </c>
      <c r="C38" s="7" t="inlineStr">
        <is>
          <t>kg</t>
        </is>
      </c>
      <c r="D38" s="9" t="inlineStr"/>
    </row>
    <row r="39">
      <c r="A39" s="7" t="inlineStr">
        <is>
          <t>Loaded radius</t>
        </is>
      </c>
      <c r="B39" s="20">
        <f>$B$6/1000</f>
        <v/>
      </c>
      <c r="C39" s="7" t="inlineStr">
        <is>
          <t>m</t>
        </is>
      </c>
      <c r="D39" s="9" t="inlineStr"/>
    </row>
    <row r="40">
      <c r="A40" s="7" t="inlineStr">
        <is>
          <t>Total drive force, loaded, flat, at target acceleration</t>
        </is>
      </c>
      <c r="B40" s="16">
        <f>$B$38*(Inputs!$B$44*Inputs!$B$41+Inputs!$B$39)</f>
        <v/>
      </c>
      <c r="C40" s="7" t="inlineStr">
        <is>
          <t>N</t>
        </is>
      </c>
      <c r="D40" s="9" t="inlineStr">
        <is>
          <t>m (g Crr + a)</t>
        </is>
      </c>
    </row>
    <row r="41">
      <c r="A41" s="7" t="inlineStr">
        <is>
          <t>Total drive force, loaded, on the slope, at target acceleration</t>
        </is>
      </c>
      <c r="B41" s="16">
        <f>$B$38*(Inputs!$B$44*Inputs!$B$41*COS(RADIANS(Inputs!$B$40))+Inputs!$B$44*SIN(RADIANS(Inputs!$B$40))+Inputs!$B$39)</f>
        <v/>
      </c>
      <c r="C41" s="7" t="inlineStr">
        <is>
          <t>N</t>
        </is>
      </c>
      <c r="D41" s="9" t="inlineStr">
        <is>
          <t>m (g Crr cos + g sin + a)</t>
        </is>
      </c>
    </row>
    <row r="42">
      <c r="A42" s="7" t="inlineStr">
        <is>
          <t>Torque per wheel, flat case</t>
        </is>
      </c>
      <c r="B42" s="19">
        <f>$B$40/2*$B$39</f>
        <v/>
      </c>
      <c r="C42" s="7" t="inlineStr">
        <is>
          <t>N·m</t>
        </is>
      </c>
      <c r="D42" s="9" t="inlineStr">
        <is>
          <t>Compare with the hub motor's continuous torque</t>
        </is>
      </c>
    </row>
    <row r="43">
      <c r="A43" s="7" t="inlineStr">
        <is>
          <t>Torque per wheel, slope case</t>
        </is>
      </c>
      <c r="B43" s="19">
        <f>$B$41/2*$B$39</f>
        <v/>
      </c>
      <c r="C43" s="7" t="inlineStr">
        <is>
          <t>N·m</t>
        </is>
      </c>
      <c r="D43" s="9" t="inlineStr"/>
    </row>
    <row r="44">
      <c r="A44" s="7" t="inlineStr">
        <is>
          <t>Wheel speed at 1 m/s</t>
        </is>
      </c>
      <c r="B44" s="16">
        <f>60/(PI()*Inputs!$B$21/1000)</f>
        <v/>
      </c>
      <c r="C44" s="7" t="inlineStr">
        <is>
          <t>rpm</t>
        </is>
      </c>
      <c r="D44" s="9" t="inlineStr">
        <is>
          <t>Hub motors run ~600 rpm no-load at 36 V</t>
        </is>
      </c>
    </row>
    <row r="45">
      <c r="A45" s="7" t="inlineStr">
        <is>
          <t>Normal force needed per drive wheel, flat (mu worst)</t>
        </is>
      </c>
      <c r="B45" s="16">
        <f>$B$40/2/Inputs!$B$43</f>
        <v/>
      </c>
      <c r="C45" s="7" t="inlineStr">
        <is>
          <t>N</t>
        </is>
      </c>
      <c r="D45" s="9" t="inlineStr">
        <is>
          <t>Spring preload should reach this</t>
        </is>
      </c>
    </row>
    <row r="46">
      <c r="A46" s="7" t="inlineStr">
        <is>
          <t>Normal force needed per drive wheel, slope (mu worst)</t>
        </is>
      </c>
      <c r="B46" s="16">
        <f>$B$41/2/Inputs!$B$43</f>
        <v/>
      </c>
      <c r="C46" s="7" t="inlineStr">
        <is>
          <t>N</t>
        </is>
      </c>
      <c r="D46" s="9" t="inlineStr"/>
    </row>
    <row r="47">
      <c r="A47" s="5" t="inlineStr">
        <is>
          <t>5. Suspension preload and caster loads</t>
        </is>
      </c>
      <c r="B47" s="6" t="n"/>
      <c r="C47" s="6" t="n"/>
      <c r="D47" s="6" t="n"/>
    </row>
    <row r="48">
      <c r="A48" s="7" t="inlineStr">
        <is>
          <t>Drive preload as a fraction of the empty weight</t>
        </is>
      </c>
      <c r="B48" s="21">
        <f>2*Inputs!$B$46/(Inputs!$B$34*Inputs!$B$44)</f>
        <v/>
      </c>
      <c r="C48" s="7" t="inlineStr">
        <is>
          <t>-</t>
        </is>
      </c>
      <c r="D48" s="9" t="inlineStr">
        <is>
          <t>Keep below ~0.7 so the casters stay loaded when empty</t>
        </is>
      </c>
    </row>
    <row r="49">
      <c r="A49" s="7" t="inlineStr">
        <is>
          <t>Load per caster, empty</t>
        </is>
      </c>
      <c r="B49" s="16">
        <f>(Inputs!$B$34*Inputs!$B$44-2*Inputs!$B$46)/4</f>
        <v/>
      </c>
      <c r="C49" s="7" t="inlineStr">
        <is>
          <t>N</t>
        </is>
      </c>
      <c r="D49" s="9" t="inlineStr">
        <is>
          <t>Must stay positive (&gt; ~15 N)</t>
        </is>
      </c>
    </row>
    <row r="50">
      <c r="A50" s="7" t="inlineStr">
        <is>
          <t>Load per caster, loaded, static, centred</t>
        </is>
      </c>
      <c r="B50" s="16">
        <f>($B$38*Inputs!$B$44-2*Inputs!$B$46)/4</f>
        <v/>
      </c>
      <c r="C50" s="7" t="inlineStr">
        <is>
          <t>N</t>
        </is>
      </c>
      <c r="D50" s="9" t="inlineStr"/>
    </row>
    <row r="51">
      <c r="A51" s="7" t="inlineStr">
        <is>
          <t>Load per caster, loaded, worst (braking + CG offset)</t>
        </is>
      </c>
      <c r="B51" s="16">
        <f>$B$50+$B$38*Inputs!$B$39*Inputs!$B$37/($B$22/1000)/2+$B$38*Inputs!$B$44*Inputs!$B$38/($B$22/1000)/2</f>
        <v/>
      </c>
      <c r="C51" s="7" t="inlineStr">
        <is>
          <t>N</t>
        </is>
      </c>
      <c r="D51" s="9" t="inlineStr"/>
    </row>
    <row r="52">
      <c r="A52" s="7" t="inlineStr">
        <is>
          <t>Required caster rating (x1.5, 4 rigid casters on an uneven floor)</t>
        </is>
      </c>
      <c r="B52" s="16">
        <f>$B$51*1.5/Inputs!$B$44</f>
        <v/>
      </c>
      <c r="C52" s="7" t="inlineStr">
        <is>
          <t>kg</t>
        </is>
      </c>
      <c r="D52" s="9" t="inlineStr"/>
    </row>
    <row r="53">
      <c r="A53" s="7" t="inlineStr">
        <is>
          <t>Selected caster rating OK?</t>
        </is>
      </c>
      <c r="B53" s="17">
        <f>IF(Inputs!$B$32&gt;=$B$52,"OK","NO: choose a stronger caster")</f>
        <v/>
      </c>
      <c r="C53" s="7" t="inlineStr"/>
      <c r="D53" s="9" t="inlineStr"/>
    </row>
    <row r="54">
      <c r="A54" s="7" t="inlineStr">
        <is>
          <t>Max acceleration before wheel slip, loaded, flat (mu nominal)</t>
        </is>
      </c>
      <c r="B54" s="19">
        <f>(2*Inputs!$B$42*Inputs!$B$46-$B$38*Inputs!$B$44*Inputs!$B$41)/$B$38</f>
        <v/>
      </c>
      <c r="C54" s="7" t="inlineStr">
        <is>
          <t>m/s2</t>
        </is>
      </c>
      <c r="D54" s="9" t="inlineStr">
        <is>
          <t>Limit the motor controller below this</t>
        </is>
      </c>
    </row>
    <row r="55">
      <c r="A55" s="7" t="inlineStr">
        <is>
          <t>Max acceleration before wheel slip, loaded, flat (mu worst)</t>
        </is>
      </c>
      <c r="B55" s="19">
        <f>(2*Inputs!$B$43*Inputs!$B$46-$B$38*Inputs!$B$44*Inputs!$B$41)/$B$38</f>
        <v/>
      </c>
      <c r="C55" s="7" t="inlineStr">
        <is>
          <t>m/s2</t>
        </is>
      </c>
      <c r="D55" s="9" t="inlineStr"/>
    </row>
    <row r="56">
      <c r="A56" s="7" t="inlineStr">
        <is>
          <t>Max acceleration before wheel slip, loaded, on the slope (mu worst)</t>
        </is>
      </c>
      <c r="B56" s="19">
        <f>(2*Inputs!$B$43*Inputs!$B$46-$B$38*Inputs!$B$44*(Inputs!$B$41*COS(RADIANS(Inputs!$B$40))+SIN(RADIANS(Inputs!$B$40))))/$B$38</f>
        <v/>
      </c>
      <c r="C56" s="7" t="inlineStr">
        <is>
          <t>m/s2</t>
        </is>
      </c>
      <c r="D56" s="9" t="inlineStr">
        <is>
          <t>Negative = cannot start uphill loaded</t>
        </is>
      </c>
    </row>
    <row r="57">
      <c r="A57" s="7" t="inlineStr">
        <is>
          <t>Max suspension rate at the wheel</t>
        </is>
      </c>
      <c r="B57" s="16">
        <f>Inputs!$B$48*Inputs!$B$46/Inputs!$B$47</f>
        <v/>
      </c>
      <c r="C57" s="7" t="inlineStr">
        <is>
          <t>N/mm</t>
        </is>
      </c>
      <c r="D57" s="9" t="inlineStr">
        <is>
          <t>Softer is better: force stays near the preload</t>
        </is>
      </c>
    </row>
    <row r="58">
      <c r="A58" s="7" t="inlineStr">
        <is>
          <t>Preload compression at the wheel</t>
        </is>
      </c>
      <c r="B58" s="16">
        <f>Inputs!$B$46/$B$57</f>
        <v/>
      </c>
      <c r="C58" s="7" t="inlineStr">
        <is>
          <t>mm</t>
        </is>
      </c>
      <c r="D58" s="9" t="inlineStr"/>
    </row>
    <row r="59">
      <c r="A59" s="7" t="inlineStr">
        <is>
          <t>Suspension working travel at the wheel</t>
        </is>
      </c>
      <c r="B59" s="16">
        <f>2*Inputs!$B$47</f>
        <v/>
      </c>
      <c r="C59" s="7" t="inlineStr">
        <is>
          <t>mm</t>
        </is>
      </c>
      <c r="D59" s="9" t="inlineStr"/>
    </row>
    <row r="60">
      <c r="A60" s="7" t="inlineStr">
        <is>
          <t>Spring rate at the spring (with lever ratio)</t>
        </is>
      </c>
      <c r="B60" s="16">
        <f>$B$57/Inputs!$B$49^2</f>
        <v/>
      </c>
      <c r="C60" s="7" t="inlineStr">
        <is>
          <t>N/mm</t>
        </is>
      </c>
      <c r="D60" s="9" t="inlineStr"/>
    </row>
    <row r="61">
      <c r="A61" s="7" t="inlineStr">
        <is>
          <t>Spring force at preload (with lever ratio)</t>
        </is>
      </c>
      <c r="B61" s="16">
        <f>Inputs!$B$46/Inputs!$B$49</f>
        <v/>
      </c>
      <c r="C61" s="7" t="inlineStr">
        <is>
          <t>N</t>
        </is>
      </c>
      <c r="D61" s="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52" customWidth="1" min="6" max="6"/>
  </cols>
  <sheetData>
    <row r="1">
      <c r="A1" s="1" t="inlineStr">
        <is>
          <t>Key coordinates for the CAD team (Assem_Base frame, mm)</t>
        </is>
      </c>
      <c r="B1" s="2" t="n"/>
      <c r="C1" s="2" t="n"/>
      <c r="D1" s="2" t="n"/>
      <c r="E1" s="2" t="n"/>
      <c r="F1" s="2" t="n"/>
    </row>
    <row r="2">
      <c r="A2" s="2" t="n"/>
      <c r="B2" s="2" t="n"/>
      <c r="C2" s="2" t="n"/>
      <c r="D2" s="2" t="n"/>
      <c r="E2" s="2" t="n"/>
      <c r="F2" s="2" t="n"/>
    </row>
    <row r="3">
      <c r="A3" s="4" t="inlineStr">
        <is>
          <t>Item</t>
        </is>
      </c>
      <c r="B3" s="4" t="inlineStr">
        <is>
          <t>X</t>
        </is>
      </c>
      <c r="C3" s="4" t="inlineStr">
        <is>
          <t>Y</t>
        </is>
      </c>
      <c r="D3" s="4" t="inlineStr">
        <is>
          <t>Z</t>
        </is>
      </c>
      <c r="E3" s="4" t="inlineStr">
        <is>
          <t>Wheel D</t>
        </is>
      </c>
      <c r="F3" s="4" t="inlineStr">
        <is>
          <t>Note</t>
        </is>
      </c>
    </row>
    <row r="4">
      <c r="A4" s="7" t="inlineStr">
        <is>
          <t>Floor plane</t>
        </is>
      </c>
      <c r="B4" s="22" t="inlineStr"/>
      <c r="C4" s="23">
        <f>Results!$B$5</f>
        <v/>
      </c>
      <c r="D4" s="22" t="inlineStr"/>
      <c r="E4" s="22" t="inlineStr"/>
      <c r="F4" s="7" t="inlineStr">
        <is>
          <t>All 6 contact points lie on this plane</t>
        </is>
      </c>
    </row>
    <row r="5">
      <c r="A5" s="7" t="inlineStr">
        <is>
          <t>Drive axle, left</t>
        </is>
      </c>
      <c r="B5" s="23">
        <f>Results!$B$16</f>
        <v/>
      </c>
      <c r="C5" s="23">
        <f>Results!$B$7</f>
        <v/>
      </c>
      <c r="D5" s="23">
        <f>Results!$B$18</f>
        <v/>
      </c>
      <c r="E5" s="23">
        <f>Inputs!$B$21</f>
        <v/>
      </c>
      <c r="F5" s="7" t="inlineStr">
        <is>
          <t>Hub-motor axle centre, suspension at mid-travel</t>
        </is>
      </c>
    </row>
    <row r="6">
      <c r="A6" s="7" t="inlineStr">
        <is>
          <t>Drive axle, right</t>
        </is>
      </c>
      <c r="B6" s="23">
        <f>Results!$B$17</f>
        <v/>
      </c>
      <c r="C6" s="23">
        <f>Results!$B$7</f>
        <v/>
      </c>
      <c r="D6" s="23">
        <f>Results!$B$18</f>
        <v/>
      </c>
      <c r="E6" s="23">
        <f>Inputs!$B$21</f>
        <v/>
      </c>
      <c r="F6" s="7" t="inlineStr">
        <is>
          <t>Hub-motor axle centre, suspension at mid-travel</t>
        </is>
      </c>
    </row>
    <row r="7">
      <c r="A7" s="7" t="inlineStr">
        <is>
          <t>Caster 1 (left, end Z=0)</t>
        </is>
      </c>
      <c r="B7" s="23">
        <f>Results!$B$19</f>
        <v/>
      </c>
      <c r="C7" s="23">
        <f>Inputs!$B$6</f>
        <v/>
      </c>
      <c r="D7" s="23">
        <f>Inputs!$B$10</f>
        <v/>
      </c>
      <c r="E7" s="23">
        <f>Inputs!$B$27</f>
        <v/>
      </c>
      <c r="F7" s="7" t="inlineStr">
        <is>
          <t>Swivel axis on the cross-member bottom face</t>
        </is>
      </c>
    </row>
    <row r="8">
      <c r="A8" s="7" t="inlineStr">
        <is>
          <t>Caster 2 (right, end Z=0)</t>
        </is>
      </c>
      <c r="B8" s="23">
        <f>Results!$B$20</f>
        <v/>
      </c>
      <c r="C8" s="23">
        <f>Inputs!$B$6</f>
        <v/>
      </c>
      <c r="D8" s="23">
        <f>Inputs!$B$10</f>
        <v/>
      </c>
      <c r="E8" s="23">
        <f>Inputs!$B$27</f>
        <v/>
      </c>
      <c r="F8" s="7" t="inlineStr">
        <is>
          <t>Swivel axis on the cross-member bottom face</t>
        </is>
      </c>
    </row>
    <row r="9">
      <c r="A9" s="7" t="inlineStr">
        <is>
          <t>Caster 3 (left, end Z=610)</t>
        </is>
      </c>
      <c r="B9" s="23">
        <f>Results!$B$19</f>
        <v/>
      </c>
      <c r="C9" s="23">
        <f>Inputs!$B$6</f>
        <v/>
      </c>
      <c r="D9" s="23">
        <f>Inputs!$B$11</f>
        <v/>
      </c>
      <c r="E9" s="23">
        <f>Inputs!$B$27</f>
        <v/>
      </c>
      <c r="F9" s="7" t="inlineStr">
        <is>
          <t>Swivel axis on the cross-member bottom face</t>
        </is>
      </c>
    </row>
    <row r="10">
      <c r="A10" s="7" t="inlineStr">
        <is>
          <t>Caster 4 (right, end Z=610)</t>
        </is>
      </c>
      <c r="B10" s="23">
        <f>Results!$B$20</f>
        <v/>
      </c>
      <c r="C10" s="23">
        <f>Inputs!$B$6</f>
        <v/>
      </c>
      <c r="D10" s="23">
        <f>Inputs!$B$11</f>
        <v/>
      </c>
      <c r="E10" s="23">
        <f>Inputs!$B$27</f>
        <v/>
      </c>
      <c r="F10" s="7" t="inlineStr">
        <is>
          <t>Swivel axis on the cross-member bottom face</t>
        </is>
      </c>
    </row>
    <row r="11">
      <c r="A11" s="7" t="inlineStr">
        <is>
          <t>Robot centre (base_link)</t>
        </is>
      </c>
      <c r="B11" s="23">
        <f>Inputs!$B$12</f>
        <v/>
      </c>
      <c r="C11" s="23">
        <f>Results!$B$5</f>
        <v/>
      </c>
      <c r="D11" s="23">
        <f>Inputs!$B$13</f>
        <v/>
      </c>
      <c r="E11" s="22" t="inlineStr"/>
      <c r="F11" s="7" t="inlineStr">
        <is>
          <t>Rotation centre for in-place turns; on the floor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1" t="inlineStr">
        <is>
          <t>2 in (50 mm) swivel caster candidates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4" t="inlineStr">
        <is>
          <t>Caster</t>
        </is>
      </c>
      <c r="B3" s="4" t="inlineStr">
        <is>
          <t>Total height (mm)</t>
        </is>
      </c>
      <c r="C3" s="4" t="inlineStr">
        <is>
          <t>Rating per caster (kg)</t>
        </is>
      </c>
      <c r="D3" s="4" t="inlineStr">
        <is>
          <t>Spacer needed (mm)</t>
        </is>
      </c>
      <c r="E3" s="4" t="inlineStr">
        <is>
          <t>Fits height?</t>
        </is>
      </c>
      <c r="F3" s="4" t="inlineStr">
        <is>
          <t>Strong enough?</t>
        </is>
      </c>
      <c r="G3" s="4" t="inlineStr">
        <is>
          <t>Source</t>
        </is>
      </c>
    </row>
    <row r="4">
      <c r="A4" s="7" t="inlineStr">
        <is>
          <t>Revvo 50 mm low-profile twin nylon</t>
        </is>
      </c>
      <c r="B4" s="8" t="n">
        <v>64</v>
      </c>
      <c r="C4" s="8" t="n">
        <v>160</v>
      </c>
      <c r="D4" s="11">
        <f>Inputs!$B$28-B4</f>
        <v/>
      </c>
      <c r="E4" s="7">
        <f>IF(D4&gt;=0,"OK","too tall")</f>
        <v/>
      </c>
      <c r="F4" s="11">
        <f>IF(C4&gt;=Results!$B$52,"OK","too weak")</f>
        <v/>
      </c>
      <c r="G4" s="7" t="inlineStr">
        <is>
          <t>https://uk.rs-online.com/web/p/castor-wheels/0750834</t>
        </is>
      </c>
    </row>
    <row r="5">
      <c r="A5" s="7" t="inlineStr">
        <is>
          <t>Richelieu 50 mm twin nylon with brake</t>
        </is>
      </c>
      <c r="B5" s="8" t="n">
        <v>73</v>
      </c>
      <c r="C5" s="8" t="n">
        <v>60</v>
      </c>
      <c r="D5" s="11">
        <f>Inputs!$B$28-B5</f>
        <v/>
      </c>
      <c r="E5" s="7">
        <f>IF(D5&gt;=0,"OK","too tall")</f>
        <v/>
      </c>
      <c r="F5" s="11">
        <f>IF(C5&gt;=Results!$B$52,"OK","too weak")</f>
        <v/>
      </c>
      <c r="G5" s="7" t="inlineStr">
        <is>
          <t>https://www.homedepot.ca/product/richelieu-2-inch-50-mm-contemporary-twin-wheel-nylon-swivel-caster-with-brake-silver-and-black-60-kg/1001090267</t>
        </is>
      </c>
    </row>
    <row r="6">
      <c r="A6" s="7" t="inlineStr">
        <is>
          <t>Richelieu 50 mm double-ring with brake</t>
        </is>
      </c>
      <c r="B6" s="8" t="n">
        <v>65</v>
      </c>
      <c r="C6" s="8" t="n">
        <v>40</v>
      </c>
      <c r="D6" s="11">
        <f>Inputs!$B$28-B6</f>
        <v/>
      </c>
      <c r="E6" s="7">
        <f>IF(D6&gt;=0,"OK","too tall")</f>
        <v/>
      </c>
      <c r="F6" s="11">
        <f>IF(C6&gt;=Results!$B$52,"OK","too weak")</f>
        <v/>
      </c>
      <c r="G6" s="7" t="inlineStr">
        <is>
          <t>https://www.homedepot.ca/product/richelieu-2-inch-50-mm-contemporary-double-ring-swivel-caster-with-brake-40-kg/1001694602</t>
        </is>
      </c>
    </row>
    <row r="7">
      <c r="A7" s="7" t="inlineStr">
        <is>
          <t>Generic 50 mm PU plate caster</t>
        </is>
      </c>
      <c r="B7" s="8" t="n">
        <v>70</v>
      </c>
      <c r="C7" s="8" t="n">
        <v>29.5</v>
      </c>
      <c r="D7" s="11">
        <f>Inputs!$B$28-B7</f>
        <v/>
      </c>
      <c r="E7" s="7">
        <f>IF(D7&gt;=0,"OK","too tall")</f>
        <v/>
      </c>
      <c r="F7" s="11">
        <f>IF(C7&gt;=Results!$B$52,"OK","too weak")</f>
        <v/>
      </c>
      <c r="G7" s="7" t="inlineStr">
        <is>
          <t>https://vxb.com/products/2-inch-swivel-plate-casters-blue-50-pack</t>
        </is>
      </c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3" t="inlineStr">
        <is>
          <t>Add local options in new rows (copy the formulas in D:F). Required rating comes from Results.</t>
        </is>
      </c>
      <c r="B9" s="2" t="n"/>
      <c r="C9" s="2" t="n"/>
      <c r="D9" s="2" t="n"/>
      <c r="E9" s="2" t="n"/>
      <c r="F9" s="2" t="n"/>
      <c r="G9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2026-10-09T10:30:29Z</dcterms:created>
  <dcterms:modified xmlns:dcterms="http://purl.org/dc/terms/" xmlns:xsi="http://www.w3.org/2001/XMLSchema-instance" xsi:type="dcterms:W3CDTF">2026-10-09T10:30:29Z</dcterms:modified>
</cp:coreProperties>
</file>